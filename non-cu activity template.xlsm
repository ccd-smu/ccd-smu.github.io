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rry\Documents\GitHub\ccguide\"/>
    </mc:Choice>
  </mc:AlternateContent>
  <xr:revisionPtr revIDLastSave="0" documentId="13_ncr:1_{B6427F28-E45A-4DF6-BE03-4617C6D804A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Template" sheetId="4" r:id="rId1"/>
    <sheet name="Data" sheetId="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2" i="4" l="1"/>
  <c r="B12" i="4" l="1"/>
  <c r="A4" i="4"/>
  <c r="D11" i="4" s="1"/>
  <c r="A3" i="4"/>
  <c r="F3" i="4" s="1"/>
  <c r="F4" i="4" l="1"/>
  <c r="D10" i="4"/>
  <c r="D1" i="4" s="1"/>
  <c r="E1" i="4" l="1"/>
</calcChain>
</file>

<file path=xl/sharedStrings.xml><?xml version="1.0" encoding="utf-8"?>
<sst xmlns="http://schemas.openxmlformats.org/spreadsheetml/2006/main" count="144" uniqueCount="94">
  <si>
    <t>Start Date</t>
  </si>
  <si>
    <t>End Date</t>
  </si>
  <si>
    <t>Jan</t>
  </si>
  <si>
    <t>Feb</t>
  </si>
  <si>
    <t>Staff email</t>
  </si>
  <si>
    <t>Please Indicate</t>
  </si>
  <si>
    <t>Participant</t>
  </si>
  <si>
    <t>Dec</t>
  </si>
  <si>
    <t>Club/Organization</t>
  </si>
  <si>
    <t>within 6 weeks from end date</t>
  </si>
  <si>
    <t>Reflection</t>
  </si>
  <si>
    <t>Staff assessment (if applicable)</t>
  </si>
  <si>
    <t>CCD assessment</t>
  </si>
  <si>
    <t>Relative to end of activity (student view)</t>
  </si>
  <si>
    <t>within 7 weeks from end date</t>
  </si>
  <si>
    <t>Placement created (CCD upload)</t>
  </si>
  <si>
    <t>Timeline/Process</t>
  </si>
  <si>
    <t>Staff template</t>
  </si>
  <si>
    <t>within 2 weeks from Reflection</t>
  </si>
  <si>
    <t>Completion of entry (total)</t>
  </si>
  <si>
    <t>after Staff assessment (if applicable)</t>
  </si>
  <si>
    <t>within 4 weeks from Placement created</t>
  </si>
  <si>
    <t xml:space="preserve">13 weeks after end of activity </t>
  </si>
  <si>
    <t>within 6-10 weeks from end date</t>
  </si>
  <si>
    <t>within 10-12 weeks from end date</t>
  </si>
  <si>
    <t>after 12 weeks from end date</t>
  </si>
  <si>
    <t>Sequential ↓</t>
  </si>
  <si>
    <t>Students have 1 month from placement</t>
  </si>
  <si>
    <t>To write reflection</t>
  </si>
  <si>
    <t>Note</t>
  </si>
  <si>
    <t>Intellectual and creative skills</t>
  </si>
  <si>
    <t>Critical Thinking and Problem Solving</t>
  </si>
  <si>
    <t>Innovative and Entrepreneurial Skills</t>
  </si>
  <si>
    <t>Interpersonal skills</t>
  </si>
  <si>
    <t>Collaboration and Leadership</t>
  </si>
  <si>
    <t>Communication</t>
  </si>
  <si>
    <t>Global citizenship</t>
  </si>
  <si>
    <t>Ethics and Social Responsibility</t>
  </si>
  <si>
    <t>Intercultural understanding and sensitivity</t>
  </si>
  <si>
    <t>Sensitivity towards Developments in Asia</t>
  </si>
  <si>
    <t>Personal Mastery</t>
  </si>
  <si>
    <t>Resilience and Positivity</t>
  </si>
  <si>
    <t>Self-directedness and Meta Learning</t>
  </si>
  <si>
    <t>GLO number</t>
  </si>
  <si>
    <t>Graduate Learning Outcomes (GLOs)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</si>
  <si>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</si>
  <si>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</si>
  <si>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</si>
  <si>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</si>
  <si>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</si>
  <si>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</si>
  <si>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</si>
  <si>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</si>
  <si>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</si>
  <si>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Name of 
Club/Organization/Activity/Competition</t>
  </si>
  <si>
    <t>GLO(s)
Separated by comma, no spacing</t>
  </si>
  <si>
    <t>SoE</t>
  </si>
  <si>
    <t>SoSS</t>
  </si>
  <si>
    <t>SoA</t>
  </si>
  <si>
    <t>LKCSB</t>
  </si>
  <si>
    <t>SCIS</t>
  </si>
  <si>
    <r>
      <t xml:space="preserve">Email
For 2021 cohort </t>
    </r>
    <r>
      <rPr>
        <b/>
        <sz val="14"/>
        <color rgb="FFFF0000"/>
        <rFont val="Calibri"/>
        <family val="2"/>
        <scheme val="minor"/>
      </rPr>
      <t>only</t>
    </r>
  </si>
  <si>
    <t>within 1 week from template submitted</t>
  </si>
  <si>
    <r>
      <t>Achievement</t>
    </r>
    <r>
      <rPr>
        <sz val="14"/>
        <rFont val="Calibri"/>
        <family val="2"/>
        <scheme val="minor"/>
      </rPr>
      <t xml:space="preserve">
For competitions (if applicable)</t>
    </r>
  </si>
  <si>
    <t>Library</t>
  </si>
  <si>
    <t>Activity/Events/Competition/Workshops</t>
  </si>
  <si>
    <r>
      <t>Membership 
Leader/Member</t>
    </r>
    <r>
      <rPr>
        <sz val="14"/>
        <rFont val="Calibri"/>
        <family val="2"/>
        <scheme val="minor"/>
      </rPr>
      <t xml:space="preserve"> for Clubs/Organizations
</t>
    </r>
    <r>
      <rPr>
        <b/>
        <sz val="14"/>
        <rFont val="Calibri"/>
        <family val="2"/>
        <scheme val="minor"/>
      </rPr>
      <t>Leader/Participant</t>
    </r>
    <r>
      <rPr>
        <sz val="14"/>
        <rFont val="Calibri"/>
        <family val="2"/>
        <scheme val="minor"/>
      </rPr>
      <t xml:space="preserve"> for Activity/Events/Competitions/Workshops</t>
    </r>
  </si>
  <si>
    <r>
      <t>Title/Appointment</t>
    </r>
    <r>
      <rPr>
        <sz val="14"/>
        <rFont val="Calibri"/>
        <family val="2"/>
        <scheme val="minor"/>
      </rPr>
      <t xml:space="preserve">
</t>
    </r>
    <r>
      <rPr>
        <b/>
        <sz val="14"/>
        <rFont val="Calibri"/>
        <family val="2"/>
        <scheme val="minor"/>
      </rPr>
      <t>(Leadership position)/Member</t>
    </r>
    <r>
      <rPr>
        <sz val="14"/>
        <rFont val="Calibri"/>
        <family val="2"/>
        <scheme val="minor"/>
      </rPr>
      <t xml:space="preserve"> for Clubs/Organizations
</t>
    </r>
    <r>
      <rPr>
        <b/>
        <sz val="14"/>
        <rFont val="Calibri"/>
        <family val="2"/>
        <scheme val="minor"/>
      </rPr>
      <t>(Leadership position)/Participant</t>
    </r>
    <r>
      <rPr>
        <sz val="14"/>
        <rFont val="Calibri"/>
        <family val="2"/>
        <scheme val="minor"/>
      </rPr>
      <t xml:space="preserve"> for Activity/Events/Competitions/Workshops</t>
    </r>
  </si>
  <si>
    <t>UOB-SMU Asian Enterprise Institute</t>
  </si>
  <si>
    <t>Office of Safety &amp; Security</t>
  </si>
  <si>
    <t>Retail Centre of Excellence</t>
  </si>
  <si>
    <t>SMU-X</t>
  </si>
  <si>
    <t>School/Center/Institute/Programme</t>
  </si>
  <si>
    <t>Pathfinders Programme</t>
  </si>
  <si>
    <t>Leader</t>
  </si>
  <si>
    <t>Member</t>
  </si>
  <si>
    <t>Gold Award</t>
  </si>
  <si>
    <t>Template should be emailed to apadmin@smu.edu.sg by staff-in-charge</t>
  </si>
  <si>
    <t>YPHSL</t>
  </si>
  <si>
    <t>Institute of Innovation &amp; Entrepreneurship</t>
  </si>
  <si>
    <t>International Trading Institute</t>
  </si>
  <si>
    <t>Sim Kee Boon Institute for Financial Economics</t>
  </si>
  <si>
    <t>Office of Alumni Relations</t>
  </si>
  <si>
    <t>Lien Centre for Social Innovtion</t>
  </si>
  <si>
    <t>Diversity, Inclusion &amp; Integration</t>
  </si>
  <si>
    <t>Mrs Wong Kwok Leong Student Wellness Centre</t>
  </si>
  <si>
    <t>staff@smu.edu.sg</t>
  </si>
  <si>
    <t>President</t>
  </si>
  <si>
    <t>student email</t>
  </si>
  <si>
    <t>Honorary General Secretary</t>
  </si>
  <si>
    <t>Financial Director</t>
  </si>
  <si>
    <t>Commendation</t>
  </si>
  <si>
    <t>Student Club A</t>
  </si>
  <si>
    <t>2,3,5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</si>
</sst>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14"/>
      <color theme="7" tint="0.3999755851924192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0">
    <xf numFmtId="0" fontId="0" fillId="0" borderId="0" xfId="0"/>
    <xf numFmtId="0" fontId="19" fillId="0" borderId="0" xfId="0" applyFont="1" applyFill="1" applyProtection="1"/>
    <xf numFmtId="0" fontId="20" fillId="0" borderId="0" xfId="0" applyFont="1" applyFill="1" applyBorder="1" applyProtection="1"/>
    <xf numFmtId="0" fontId="21" fillId="0" borderId="0" xfId="0" applyFont="1" applyFill="1" applyProtection="1"/>
    <xf numFmtId="0" fontId="20" fillId="0" borderId="0" xfId="0" applyFont="1" applyFill="1" applyAlignment="1" applyProtection="1">
      <alignment vertical="top" wrapText="1"/>
    </xf>
    <xf numFmtId="0" fontId="20" fillId="33" borderId="19" xfId="0" applyFont="1" applyFill="1" applyBorder="1" applyAlignment="1" applyProtection="1">
      <alignment wrapText="1"/>
    </xf>
    <xf numFmtId="0" fontId="20" fillId="33" borderId="22" xfId="0" applyFont="1" applyFill="1" applyBorder="1" applyProtection="1"/>
    <xf numFmtId="0" fontId="20" fillId="33" borderId="24" xfId="0" applyFont="1" applyFill="1" applyBorder="1" applyProtection="1"/>
    <xf numFmtId="0" fontId="19" fillId="0" borderId="0" xfId="0" applyFont="1" applyFill="1" applyBorder="1" applyProtection="1"/>
    <xf numFmtId="0" fontId="20" fillId="33" borderId="19" xfId="0" applyFont="1" applyFill="1" applyBorder="1" applyProtection="1"/>
    <xf numFmtId="0" fontId="19" fillId="0" borderId="0" xfId="0" applyNumberFormat="1" applyFont="1" applyFill="1" applyProtection="1"/>
    <xf numFmtId="14" fontId="19" fillId="0" borderId="0" xfId="0" applyNumberFormat="1" applyFont="1" applyFill="1" applyProtection="1"/>
    <xf numFmtId="0" fontId="20" fillId="33" borderId="15" xfId="0" applyFont="1" applyFill="1" applyBorder="1" applyProtection="1"/>
    <xf numFmtId="0" fontId="20" fillId="0" borderId="11" xfId="0" applyFont="1" applyBorder="1" applyAlignment="1" applyProtection="1"/>
    <xf numFmtId="0" fontId="20" fillId="33" borderId="10" xfId="0" applyFont="1" applyFill="1" applyBorder="1" applyProtection="1"/>
    <xf numFmtId="0" fontId="20" fillId="33" borderId="12" xfId="0" applyFont="1" applyFill="1" applyBorder="1" applyProtection="1"/>
    <xf numFmtId="0" fontId="21" fillId="0" borderId="13" xfId="0" applyFont="1" applyBorder="1" applyProtection="1"/>
    <xf numFmtId="0" fontId="20" fillId="33" borderId="11" xfId="0" applyFont="1" applyFill="1" applyBorder="1" applyProtection="1"/>
    <xf numFmtId="0" fontId="20" fillId="0" borderId="13" xfId="0" applyFont="1" applyFill="1" applyBorder="1" applyProtection="1"/>
    <xf numFmtId="0" fontId="21" fillId="0" borderId="0" xfId="0" applyFont="1" applyBorder="1" applyProtection="1"/>
    <xf numFmtId="0" fontId="21" fillId="0" borderId="14" xfId="0" applyFont="1" applyBorder="1" applyProtection="1"/>
    <xf numFmtId="0" fontId="20" fillId="0" borderId="15" xfId="0" applyFont="1" applyFill="1" applyBorder="1" applyProtection="1"/>
    <xf numFmtId="0" fontId="21" fillId="0" borderId="0" xfId="0" applyFont="1" applyProtection="1"/>
    <xf numFmtId="0" fontId="22" fillId="34" borderId="21" xfId="0" applyFont="1" applyFill="1" applyBorder="1" applyProtection="1">
      <protection locked="0"/>
    </xf>
    <xf numFmtId="0" fontId="22" fillId="34" borderId="17" xfId="0" applyFont="1" applyFill="1" applyBorder="1" applyProtection="1">
      <protection locked="0"/>
    </xf>
    <xf numFmtId="0" fontId="21" fillId="34" borderId="28" xfId="0" applyFont="1" applyFill="1" applyBorder="1" applyProtection="1">
      <protection locked="0"/>
    </xf>
    <xf numFmtId="0" fontId="20" fillId="33" borderId="29" xfId="0" applyFont="1" applyFill="1" applyBorder="1" applyProtection="1"/>
    <xf numFmtId="0" fontId="20" fillId="33" borderId="30" xfId="0" applyFont="1" applyFill="1" applyBorder="1" applyProtection="1"/>
    <xf numFmtId="0" fontId="21" fillId="0" borderId="31" xfId="0" applyFont="1" applyBorder="1" applyProtection="1"/>
    <xf numFmtId="0" fontId="21" fillId="0" borderId="33" xfId="0" applyFont="1" applyBorder="1" applyProtection="1"/>
    <xf numFmtId="0" fontId="20" fillId="33" borderId="28" xfId="0" applyFont="1" applyFill="1" applyBorder="1" applyAlignment="1" applyProtection="1">
      <alignment vertical="center" wrapText="1"/>
    </xf>
    <xf numFmtId="0" fontId="20" fillId="33" borderId="28" xfId="0" applyFont="1" applyFill="1" applyBorder="1" applyAlignment="1" applyProtection="1">
      <alignment vertical="top" wrapText="1"/>
    </xf>
    <xf numFmtId="0" fontId="20" fillId="33" borderId="0" xfId="0" applyFont="1" applyFill="1" applyAlignment="1" applyProtection="1">
      <alignment vertical="top" wrapText="1"/>
    </xf>
    <xf numFmtId="0" fontId="20" fillId="0" borderId="29" xfId="0" applyFont="1" applyBorder="1" applyProtection="1"/>
    <xf numFmtId="0" fontId="21" fillId="0" borderId="0" xfId="0" applyFont="1" applyProtection="1">
      <protection locked="0"/>
    </xf>
    <xf numFmtId="0" fontId="24" fillId="0" borderId="11" xfId="0" applyFont="1" applyFill="1" applyBorder="1" applyAlignment="1" applyProtection="1"/>
    <xf numFmtId="0" fontId="20" fillId="0" borderId="35" xfId="0" applyFont="1" applyFill="1" applyBorder="1" applyAlignment="1" applyProtection="1">
      <alignment horizontal="left"/>
    </xf>
    <xf numFmtId="0" fontId="20" fillId="0" borderId="36" xfId="0" applyFont="1" applyFill="1" applyBorder="1" applyAlignment="1" applyProtection="1">
      <alignment horizontal="left"/>
    </xf>
    <xf numFmtId="0" fontId="21" fillId="0" borderId="37" xfId="0" applyFont="1" applyFill="1" applyBorder="1" applyAlignment="1" applyProtection="1">
      <alignment horizontal="left"/>
    </xf>
    <xf numFmtId="0" fontId="21" fillId="34" borderId="18" xfId="0" applyFont="1" applyFill="1" applyBorder="1" applyAlignment="1" applyProtection="1">
      <alignment horizontal="center"/>
      <protection locked="0"/>
    </xf>
    <xf numFmtId="0" fontId="21" fillId="34" borderId="23" xfId="0" applyFont="1" applyFill="1" applyBorder="1" applyAlignment="1" applyProtection="1">
      <alignment horizontal="center"/>
      <protection locked="0"/>
    </xf>
    <xf numFmtId="0" fontId="21" fillId="34" borderId="28" xfId="6" applyFont="1" applyFill="1" applyBorder="1" applyProtection="1">
      <protection locked="0"/>
    </xf>
    <xf numFmtId="0" fontId="21" fillId="0" borderId="16" xfId="0" applyFont="1" applyBorder="1" applyAlignment="1" applyProtection="1">
      <alignment horizontal="center"/>
    </xf>
    <xf numFmtId="0" fontId="21" fillId="0" borderId="17" xfId="0" applyFont="1" applyBorder="1" applyAlignment="1" applyProtection="1">
      <alignment horizontal="center"/>
    </xf>
    <xf numFmtId="0" fontId="19" fillId="0" borderId="14" xfId="0" applyFont="1" applyFill="1" applyBorder="1" applyAlignment="1" applyProtection="1">
      <alignment horizontal="center"/>
    </xf>
    <xf numFmtId="0" fontId="21" fillId="0" borderId="30" xfId="0" applyFont="1" applyBorder="1" applyAlignment="1" applyProtection="1">
      <alignment horizontal="center" vertical="center"/>
    </xf>
    <xf numFmtId="0" fontId="21" fillId="0" borderId="32" xfId="0" applyFont="1" applyBorder="1" applyAlignment="1" applyProtection="1">
      <alignment horizontal="center" vertical="center"/>
    </xf>
    <xf numFmtId="0" fontId="21" fillId="0" borderId="34" xfId="0" applyFont="1" applyBorder="1" applyAlignment="1" applyProtection="1">
      <alignment horizontal="center" vertical="center"/>
    </xf>
    <xf numFmtId="0" fontId="21" fillId="34" borderId="0" xfId="0" applyFont="1" applyFill="1" applyBorder="1" applyAlignment="1" applyProtection="1">
      <alignment horizontal="center"/>
      <protection locked="0"/>
    </xf>
    <xf numFmtId="0" fontId="21" fillId="34" borderId="14" xfId="0" applyFont="1" applyFill="1" applyBorder="1" applyAlignment="1" applyProtection="1">
      <alignment horizontal="center"/>
      <protection locked="0"/>
    </xf>
    <xf numFmtId="0" fontId="21" fillId="34" borderId="20" xfId="0" applyFont="1" applyFill="1" applyBorder="1" applyAlignment="1" applyProtection="1">
      <alignment horizontal="center"/>
      <protection locked="0"/>
    </xf>
    <xf numFmtId="0" fontId="21" fillId="34" borderId="21" xfId="0" applyFont="1" applyFill="1" applyBorder="1" applyAlignment="1" applyProtection="1">
      <alignment horizontal="center"/>
      <protection locked="0"/>
    </xf>
    <xf numFmtId="0" fontId="21" fillId="34" borderId="18" xfId="0" applyFont="1" applyFill="1" applyBorder="1" applyAlignment="1" applyProtection="1">
      <alignment horizontal="center"/>
      <protection locked="0"/>
    </xf>
    <xf numFmtId="0" fontId="21" fillId="34" borderId="23" xfId="0" applyFont="1" applyFill="1" applyBorder="1" applyAlignment="1" applyProtection="1">
      <alignment horizontal="center"/>
      <protection locked="0"/>
    </xf>
    <xf numFmtId="0" fontId="20" fillId="33" borderId="26" xfId="0" applyFont="1" applyFill="1" applyBorder="1" applyAlignment="1" applyProtection="1">
      <alignment horizontal="left" wrapText="1"/>
    </xf>
    <xf numFmtId="0" fontId="20" fillId="33" borderId="15" xfId="0" applyFont="1" applyFill="1" applyBorder="1" applyAlignment="1" applyProtection="1">
      <alignment horizontal="left" wrapText="1"/>
    </xf>
    <xf numFmtId="0" fontId="21" fillId="34" borderId="25" xfId="0" applyFont="1" applyFill="1" applyBorder="1" applyAlignment="1" applyProtection="1">
      <alignment horizontal="center"/>
      <protection locked="0"/>
    </xf>
    <xf numFmtId="0" fontId="21" fillId="34" borderId="27" xfId="0" applyFont="1" applyFill="1" applyBorder="1" applyAlignment="1" applyProtection="1">
      <alignment horizontal="center"/>
      <protection locked="0"/>
    </xf>
    <xf numFmtId="0" fontId="21" fillId="34" borderId="16" xfId="0" applyFont="1" applyFill="1" applyBorder="1" applyAlignment="1" applyProtection="1">
      <alignment horizontal="center"/>
      <protection locked="0"/>
    </xf>
    <xf numFmtId="0" fontId="21" fillId="34" borderId="17" xfId="0" applyFont="1" applyFill="1" applyBorder="1" applyAlignment="1" applyProtection="1">
      <alignment horizontal="center"/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rgb="FFFF7C8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CheckBox" fmlaLink="C10" lockText="1" noThreeD="1"/>
</file>

<file path=xl/ctrlProps/ctrlProp2.xml><?xml version="1.0" encoding="utf-8"?>
<formControlPr xmlns="http://schemas.microsoft.com/office/spreadsheetml/2009/9/main" objectType="CheckBox" fmlaLink="C1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9525</xdr:rowOff>
        </xdr:from>
        <xdr:to>
          <xdr:col>2</xdr:col>
          <xdr:colOff>2514600</xdr:colOff>
          <xdr:row>9</xdr:row>
          <xdr:rowOff>228600</xdr:rowOff>
        </xdr:to>
        <xdr:sp macro="" textlink="">
          <xdr:nvSpPr>
            <xdr:cNvPr id="4106" name="Check Box 1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28575</xdr:rowOff>
        </xdr:from>
        <xdr:to>
          <xdr:col>2</xdr:col>
          <xdr:colOff>2514600</xdr:colOff>
          <xdr:row>10</xdr:row>
          <xdr:rowOff>228600</xdr:rowOff>
        </xdr:to>
        <xdr:sp macro="" textlink="">
          <xdr:nvSpPr>
            <xdr:cNvPr id="4107" name="Check Box 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52"/>
  <sheetViews>
    <sheetView tabSelected="1" zoomScale="55" zoomScaleNormal="55" workbookViewId="0">
      <selection activeCell="C7" sqref="C7:E8"/>
    </sheetView>
  </sheetViews>
  <sheetFormatPr defaultColWidth="9.140625" defaultRowHeight="18.75" x14ac:dyDescent="0.3"/>
  <cols>
    <col min="1" max="1" width="8.7109375" style="1" customWidth="1"/>
    <col min="2" max="2" width="53.7109375" style="22" customWidth="1"/>
    <col min="3" max="3" width="45.7109375" style="22" bestFit="1" customWidth="1"/>
    <col min="4" max="4" width="48.85546875" style="22" bestFit="1" customWidth="1"/>
    <col min="5" max="5" width="45.85546875" style="22" bestFit="1" customWidth="1"/>
    <col min="6" max="6" width="9.140625" style="1"/>
    <col min="7" max="7" width="19.140625" style="34" bestFit="1" customWidth="1"/>
    <col min="8" max="8" width="51.5703125" style="34" bestFit="1" customWidth="1"/>
    <col min="9" max="9" width="62" style="34" customWidth="1"/>
    <col min="10" max="10" width="29.140625" style="34" customWidth="1"/>
    <col min="11" max="16384" width="9.140625" style="22"/>
  </cols>
  <sheetData>
    <row r="1" spans="1:10" s="3" customFormat="1" ht="94.5" thickBot="1" x14ac:dyDescent="0.35">
      <c r="A1" s="1"/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F1" s="1"/>
      <c r="G1" s="30" t="s">
        <v>61</v>
      </c>
      <c r="H1" s="31" t="s">
        <v>66</v>
      </c>
      <c r="I1" s="31" t="s">
        <v>67</v>
      </c>
      <c r="J1" s="32" t="s">
        <v>63</v>
      </c>
    </row>
    <row r="2" spans="1:10" ht="37.5" x14ac:dyDescent="0.3">
      <c r="B2" s="5" t="s">
        <v>54</v>
      </c>
      <c r="C2" s="50" t="s">
        <v>92</v>
      </c>
      <c r="D2" s="50"/>
      <c r="E2" s="51"/>
      <c r="G2" s="25" t="s">
        <v>88</v>
      </c>
      <c r="H2" s="25" t="s">
        <v>74</v>
      </c>
      <c r="I2" s="25" t="s">
        <v>87</v>
      </c>
      <c r="J2" s="25"/>
    </row>
    <row r="3" spans="1:10" x14ac:dyDescent="0.3">
      <c r="A3" s="1">
        <f>MONTH(DATEVALUE(D3&amp;"1"))</f>
        <v>8</v>
      </c>
      <c r="B3" s="6" t="s">
        <v>0</v>
      </c>
      <c r="C3" s="39">
        <v>11</v>
      </c>
      <c r="D3" s="39" t="s">
        <v>50</v>
      </c>
      <c r="E3" s="40">
        <v>2021</v>
      </c>
      <c r="F3" s="1" t="str">
        <f>_xlfn.CONCAT(A3, "/",C3, "/", E3)</f>
        <v>8/11/2021</v>
      </c>
      <c r="G3" s="25" t="s">
        <v>88</v>
      </c>
      <c r="H3" s="25" t="s">
        <v>74</v>
      </c>
      <c r="I3" s="25" t="s">
        <v>89</v>
      </c>
      <c r="J3" s="25"/>
    </row>
    <row r="4" spans="1:10" x14ac:dyDescent="0.3">
      <c r="A4" s="1">
        <f>MONTH(DATEVALUE(D4&amp;"1"))</f>
        <v>8</v>
      </c>
      <c r="B4" s="6" t="s">
        <v>1</v>
      </c>
      <c r="C4" s="39">
        <v>12</v>
      </c>
      <c r="D4" s="39" t="s">
        <v>50</v>
      </c>
      <c r="E4" s="40">
        <v>2021</v>
      </c>
      <c r="F4" s="1" t="str">
        <f>_xlfn.CONCAT(A4, "/",C4, "/", E4)</f>
        <v>8/12/2021</v>
      </c>
      <c r="G4" s="25" t="s">
        <v>88</v>
      </c>
      <c r="H4" s="25" t="s">
        <v>74</v>
      </c>
      <c r="I4" s="25" t="s">
        <v>90</v>
      </c>
      <c r="J4" s="25"/>
    </row>
    <row r="5" spans="1:10" x14ac:dyDescent="0.3">
      <c r="B5" s="6" t="s">
        <v>72</v>
      </c>
      <c r="C5" s="52"/>
      <c r="D5" s="52"/>
      <c r="E5" s="53"/>
      <c r="G5" s="25" t="s">
        <v>88</v>
      </c>
      <c r="H5" s="25" t="s">
        <v>74</v>
      </c>
      <c r="I5" s="25" t="s">
        <v>74</v>
      </c>
      <c r="J5" s="25"/>
    </row>
    <row r="6" spans="1:10" x14ac:dyDescent="0.3">
      <c r="B6" s="7" t="s">
        <v>4</v>
      </c>
      <c r="C6" s="48" t="s">
        <v>86</v>
      </c>
      <c r="D6" s="48"/>
      <c r="E6" s="49"/>
      <c r="G6" s="25" t="s">
        <v>88</v>
      </c>
      <c r="H6" s="25" t="s">
        <v>74</v>
      </c>
      <c r="I6" s="25" t="s">
        <v>74</v>
      </c>
      <c r="J6" s="25"/>
    </row>
    <row r="7" spans="1:10" x14ac:dyDescent="0.3">
      <c r="A7" s="44"/>
      <c r="B7" s="54" t="s">
        <v>55</v>
      </c>
      <c r="C7" s="56" t="s">
        <v>93</v>
      </c>
      <c r="D7" s="56"/>
      <c r="E7" s="57"/>
      <c r="G7" s="25" t="s">
        <v>88</v>
      </c>
      <c r="H7" s="25" t="s">
        <v>75</v>
      </c>
      <c r="I7" s="25" t="s">
        <v>75</v>
      </c>
      <c r="J7" s="25"/>
    </row>
    <row r="8" spans="1:10" ht="19.5" thickBot="1" x14ac:dyDescent="0.35">
      <c r="A8" s="44"/>
      <c r="B8" s="55"/>
      <c r="C8" s="58"/>
      <c r="D8" s="58"/>
      <c r="E8" s="59"/>
      <c r="G8" s="25" t="s">
        <v>88</v>
      </c>
      <c r="H8" s="25" t="s">
        <v>75</v>
      </c>
      <c r="I8" s="25" t="s">
        <v>75</v>
      </c>
      <c r="J8" s="25"/>
    </row>
    <row r="9" spans="1:10" ht="19.5" thickBot="1" x14ac:dyDescent="0.35">
      <c r="B9" s="3"/>
      <c r="C9" s="8"/>
      <c r="D9" s="3"/>
      <c r="E9" s="3"/>
      <c r="G9" s="25" t="s">
        <v>88</v>
      </c>
      <c r="H9" s="25" t="s">
        <v>75</v>
      </c>
      <c r="I9" s="25" t="s">
        <v>75</v>
      </c>
      <c r="J9" s="25"/>
    </row>
    <row r="10" spans="1:10" x14ac:dyDescent="0.3">
      <c r="B10" s="9" t="s">
        <v>8</v>
      </c>
      <c r="C10" s="23" t="b">
        <v>0</v>
      </c>
      <c r="D10" s="10">
        <f>DATE(E3, A3, C3)</f>
        <v>44419</v>
      </c>
      <c r="E10" s="11"/>
      <c r="G10" s="25" t="s">
        <v>88</v>
      </c>
      <c r="H10" s="25" t="s">
        <v>75</v>
      </c>
      <c r="I10" s="25" t="s">
        <v>75</v>
      </c>
      <c r="J10" s="25"/>
    </row>
    <row r="11" spans="1:10" ht="19.5" thickBot="1" x14ac:dyDescent="0.35">
      <c r="B11" s="12" t="s">
        <v>65</v>
      </c>
      <c r="C11" s="24" t="b">
        <v>0</v>
      </c>
      <c r="D11" s="10">
        <f>DATE(E4, A4, C4)</f>
        <v>44420</v>
      </c>
      <c r="E11" s="1"/>
      <c r="G11" s="25" t="s">
        <v>88</v>
      </c>
      <c r="H11" s="25" t="s">
        <v>75</v>
      </c>
      <c r="I11" s="25" t="s">
        <v>75</v>
      </c>
      <c r="J11" s="25"/>
    </row>
    <row r="12" spans="1:10" x14ac:dyDescent="0.3">
      <c r="B12" s="13" t="str">
        <f>IF((AND(C10=TRUE, C11=TRUE)), "Error! Select one only", "")</f>
        <v/>
      </c>
      <c r="C12" s="35" t="str">
        <f>IF(C11=TRUE, "Club/Organization", "Activity/Events/Competition/Workshops")</f>
        <v>Activity/Events/Competition/Workshops</v>
      </c>
      <c r="D12" s="1"/>
      <c r="E12" s="1"/>
      <c r="G12" s="25" t="s">
        <v>88</v>
      </c>
      <c r="H12" s="25" t="s">
        <v>75</v>
      </c>
      <c r="I12" s="25" t="s">
        <v>75</v>
      </c>
      <c r="J12" s="25"/>
    </row>
    <row r="13" spans="1:10" ht="19.5" thickBot="1" x14ac:dyDescent="0.35">
      <c r="B13" s="3"/>
      <c r="C13" s="3"/>
      <c r="D13" s="3"/>
      <c r="E13" s="3"/>
      <c r="G13" s="25" t="s">
        <v>88</v>
      </c>
      <c r="H13" s="25" t="s">
        <v>75</v>
      </c>
      <c r="I13" s="25" t="s">
        <v>75</v>
      </c>
      <c r="J13" s="25"/>
    </row>
    <row r="14" spans="1:10" ht="19.5" thickBot="1" x14ac:dyDescent="0.35">
      <c r="B14" s="26" t="s">
        <v>44</v>
      </c>
      <c r="C14" s="27" t="s">
        <v>43</v>
      </c>
      <c r="D14" s="3"/>
      <c r="E14" s="3"/>
      <c r="G14" s="25" t="s">
        <v>88</v>
      </c>
      <c r="H14" s="25" t="s">
        <v>6</v>
      </c>
      <c r="I14" s="25" t="s">
        <v>6</v>
      </c>
      <c r="J14" s="25" t="s">
        <v>76</v>
      </c>
    </row>
    <row r="15" spans="1:10" x14ac:dyDescent="0.3">
      <c r="B15" s="33" t="s">
        <v>30</v>
      </c>
      <c r="C15" s="45">
        <v>2</v>
      </c>
      <c r="D15" s="3"/>
      <c r="E15" s="3"/>
      <c r="G15" s="25" t="s">
        <v>88</v>
      </c>
      <c r="H15" s="25" t="s">
        <v>6</v>
      </c>
      <c r="I15" s="25" t="s">
        <v>6</v>
      </c>
      <c r="J15" s="25" t="s">
        <v>91</v>
      </c>
    </row>
    <row r="16" spans="1:10" x14ac:dyDescent="0.3">
      <c r="B16" s="28" t="s">
        <v>31</v>
      </c>
      <c r="C16" s="46"/>
      <c r="D16" s="3"/>
      <c r="E16" s="3"/>
      <c r="G16" s="25" t="s">
        <v>88</v>
      </c>
      <c r="H16" s="25" t="s">
        <v>6</v>
      </c>
      <c r="I16" s="25" t="s">
        <v>6</v>
      </c>
      <c r="J16" s="25"/>
    </row>
    <row r="17" spans="2:10" ht="19.5" thickBot="1" x14ac:dyDescent="0.35">
      <c r="B17" s="29" t="s">
        <v>32</v>
      </c>
      <c r="C17" s="47"/>
      <c r="D17" s="3"/>
      <c r="E17" s="3"/>
      <c r="G17" s="25" t="s">
        <v>88</v>
      </c>
      <c r="H17" s="25" t="s">
        <v>6</v>
      </c>
      <c r="I17" s="25" t="s">
        <v>6</v>
      </c>
      <c r="J17" s="25"/>
    </row>
    <row r="18" spans="2:10" x14ac:dyDescent="0.3">
      <c r="B18" s="33" t="s">
        <v>33</v>
      </c>
      <c r="C18" s="45">
        <v>3</v>
      </c>
      <c r="D18" s="3"/>
      <c r="E18" s="3"/>
      <c r="G18" s="25" t="s">
        <v>88</v>
      </c>
      <c r="H18" s="25" t="s">
        <v>6</v>
      </c>
      <c r="I18" s="25" t="s">
        <v>6</v>
      </c>
      <c r="J18" s="25"/>
    </row>
    <row r="19" spans="2:10" x14ac:dyDescent="0.3">
      <c r="B19" s="28" t="s">
        <v>34</v>
      </c>
      <c r="C19" s="46"/>
      <c r="D19" s="3"/>
      <c r="E19" s="3"/>
      <c r="G19" s="25" t="s">
        <v>88</v>
      </c>
      <c r="H19" s="25" t="s">
        <v>6</v>
      </c>
      <c r="I19" s="25" t="s">
        <v>6</v>
      </c>
      <c r="J19" s="25"/>
    </row>
    <row r="20" spans="2:10" ht="19.5" thickBot="1" x14ac:dyDescent="0.35">
      <c r="B20" s="29" t="s">
        <v>35</v>
      </c>
      <c r="C20" s="47"/>
      <c r="D20" s="3"/>
      <c r="E20" s="3"/>
      <c r="G20" s="25"/>
      <c r="H20" s="25"/>
      <c r="I20" s="25"/>
      <c r="J20" s="25"/>
    </row>
    <row r="21" spans="2:10" x14ac:dyDescent="0.3">
      <c r="B21" s="33" t="s">
        <v>36</v>
      </c>
      <c r="C21" s="45">
        <v>4</v>
      </c>
      <c r="D21" s="3"/>
      <c r="E21" s="3"/>
      <c r="G21" s="25"/>
      <c r="H21" s="41"/>
      <c r="I21" s="25"/>
      <c r="J21" s="25"/>
    </row>
    <row r="22" spans="2:10" x14ac:dyDescent="0.3">
      <c r="B22" s="28" t="s">
        <v>37</v>
      </c>
      <c r="C22" s="46"/>
      <c r="D22" s="3"/>
      <c r="E22" s="3"/>
      <c r="G22" s="25"/>
      <c r="H22" s="25"/>
      <c r="I22" s="25"/>
      <c r="J22" s="25"/>
    </row>
    <row r="23" spans="2:10" x14ac:dyDescent="0.3">
      <c r="B23" s="28" t="s">
        <v>38</v>
      </c>
      <c r="C23" s="46"/>
      <c r="D23" s="3"/>
      <c r="E23" s="3"/>
      <c r="G23" s="25"/>
      <c r="H23" s="25"/>
      <c r="I23" s="25"/>
      <c r="J23" s="25"/>
    </row>
    <row r="24" spans="2:10" ht="19.5" thickBot="1" x14ac:dyDescent="0.35">
      <c r="B24" s="29" t="s">
        <v>39</v>
      </c>
      <c r="C24" s="47"/>
      <c r="D24" s="3"/>
      <c r="E24" s="3"/>
      <c r="G24" s="25"/>
      <c r="H24" s="25"/>
      <c r="I24" s="25"/>
      <c r="J24" s="25"/>
    </row>
    <row r="25" spans="2:10" x14ac:dyDescent="0.3">
      <c r="B25" s="33" t="s">
        <v>40</v>
      </c>
      <c r="C25" s="45">
        <v>5</v>
      </c>
      <c r="D25" s="3"/>
      <c r="E25" s="3"/>
      <c r="G25" s="25"/>
      <c r="H25" s="25"/>
      <c r="I25" s="25"/>
      <c r="J25" s="25"/>
    </row>
    <row r="26" spans="2:10" x14ac:dyDescent="0.3">
      <c r="B26" s="28" t="s">
        <v>41</v>
      </c>
      <c r="C26" s="46"/>
      <c r="D26" s="3"/>
      <c r="E26" s="3"/>
      <c r="G26" s="25"/>
      <c r="H26" s="25"/>
      <c r="I26" s="25"/>
      <c r="J26" s="25"/>
    </row>
    <row r="27" spans="2:10" ht="19.5" thickBot="1" x14ac:dyDescent="0.35">
      <c r="B27" s="29" t="s">
        <v>42</v>
      </c>
      <c r="C27" s="47"/>
      <c r="D27" s="3"/>
      <c r="E27" s="3"/>
      <c r="G27" s="25"/>
      <c r="H27" s="25"/>
      <c r="I27" s="25"/>
      <c r="J27" s="25"/>
    </row>
    <row r="28" spans="2:10" x14ac:dyDescent="0.3">
      <c r="B28" s="3"/>
      <c r="C28" s="3"/>
      <c r="D28" s="3"/>
      <c r="E28" s="3"/>
      <c r="G28" s="25"/>
      <c r="H28" s="25"/>
      <c r="I28" s="25"/>
      <c r="J28" s="25"/>
    </row>
    <row r="29" spans="2:10" ht="19.5" thickBot="1" x14ac:dyDescent="0.35">
      <c r="B29" s="2"/>
      <c r="C29" s="3"/>
      <c r="D29" s="3"/>
      <c r="E29" s="3"/>
      <c r="G29" s="25"/>
      <c r="H29" s="25"/>
      <c r="I29" s="25"/>
      <c r="J29" s="25"/>
    </row>
    <row r="30" spans="2:10" x14ac:dyDescent="0.3">
      <c r="B30" s="14" t="s">
        <v>16</v>
      </c>
      <c r="C30" s="17" t="s">
        <v>26</v>
      </c>
      <c r="D30" s="17" t="s">
        <v>13</v>
      </c>
      <c r="E30" s="15" t="s">
        <v>29</v>
      </c>
      <c r="G30" s="25"/>
      <c r="H30" s="25"/>
      <c r="I30" s="25"/>
      <c r="J30" s="25"/>
    </row>
    <row r="31" spans="2:10" x14ac:dyDescent="0.3">
      <c r="B31" s="18" t="s">
        <v>17</v>
      </c>
      <c r="C31" s="19" t="s">
        <v>9</v>
      </c>
      <c r="D31" s="19" t="s">
        <v>9</v>
      </c>
      <c r="E31" s="20"/>
      <c r="G31" s="25"/>
      <c r="H31" s="25"/>
      <c r="I31" s="25"/>
      <c r="J31" s="25"/>
    </row>
    <row r="32" spans="2:10" x14ac:dyDescent="0.3">
      <c r="B32" s="18" t="s">
        <v>15</v>
      </c>
      <c r="C32" s="19" t="s">
        <v>62</v>
      </c>
      <c r="D32" s="19" t="s">
        <v>14</v>
      </c>
      <c r="E32" s="20"/>
      <c r="G32" s="25"/>
      <c r="H32" s="25"/>
      <c r="I32" s="25"/>
      <c r="J32" s="25"/>
    </row>
    <row r="33" spans="2:10" x14ac:dyDescent="0.3">
      <c r="B33" s="18" t="s">
        <v>10</v>
      </c>
      <c r="C33" s="19" t="s">
        <v>21</v>
      </c>
      <c r="D33" s="19" t="s">
        <v>23</v>
      </c>
      <c r="E33" s="20" t="s">
        <v>27</v>
      </c>
      <c r="G33" s="25"/>
      <c r="H33" s="25"/>
      <c r="I33" s="25"/>
      <c r="J33" s="25"/>
    </row>
    <row r="34" spans="2:10" x14ac:dyDescent="0.3">
      <c r="B34" s="18" t="s">
        <v>11</v>
      </c>
      <c r="C34" s="19" t="s">
        <v>18</v>
      </c>
      <c r="D34" s="19" t="s">
        <v>24</v>
      </c>
      <c r="E34" s="20" t="s">
        <v>28</v>
      </c>
      <c r="G34" s="25"/>
      <c r="H34" s="25"/>
      <c r="I34" s="25"/>
      <c r="J34" s="25"/>
    </row>
    <row r="35" spans="2:10" x14ac:dyDescent="0.3">
      <c r="B35" s="18" t="s">
        <v>12</v>
      </c>
      <c r="C35" s="19" t="s">
        <v>20</v>
      </c>
      <c r="D35" s="19" t="s">
        <v>25</v>
      </c>
      <c r="E35" s="20"/>
      <c r="G35" s="25"/>
      <c r="H35" s="25"/>
      <c r="I35" s="25"/>
      <c r="J35" s="25"/>
    </row>
    <row r="36" spans="2:10" x14ac:dyDescent="0.3">
      <c r="B36" s="16"/>
      <c r="C36" s="19"/>
      <c r="D36" s="19"/>
      <c r="E36" s="20"/>
      <c r="G36" s="25"/>
      <c r="H36" s="25"/>
      <c r="I36" s="25"/>
      <c r="J36" s="25"/>
    </row>
    <row r="37" spans="2:10" ht="19.5" thickBot="1" x14ac:dyDescent="0.35">
      <c r="B37" s="21" t="s">
        <v>19</v>
      </c>
      <c r="C37" s="42" t="s">
        <v>22</v>
      </c>
      <c r="D37" s="42"/>
      <c r="E37" s="43"/>
      <c r="G37" s="25"/>
      <c r="H37" s="25"/>
      <c r="I37" s="25"/>
      <c r="J37" s="25"/>
    </row>
    <row r="38" spans="2:10" ht="19.5" thickBot="1" x14ac:dyDescent="0.35">
      <c r="B38" s="3"/>
      <c r="C38" s="3"/>
      <c r="D38" s="3"/>
      <c r="E38" s="3"/>
      <c r="G38" s="25"/>
      <c r="H38" s="25"/>
      <c r="I38" s="25"/>
      <c r="J38" s="25"/>
    </row>
    <row r="39" spans="2:10" ht="19.5" thickBot="1" x14ac:dyDescent="0.35">
      <c r="B39" s="36" t="s">
        <v>77</v>
      </c>
      <c r="C39" s="37"/>
      <c r="D39" s="38"/>
      <c r="E39" s="3"/>
      <c r="G39" s="25"/>
      <c r="H39" s="25"/>
      <c r="I39" s="25"/>
      <c r="J39" s="25"/>
    </row>
    <row r="40" spans="2:10" x14ac:dyDescent="0.3">
      <c r="B40" s="3"/>
      <c r="C40" s="3"/>
      <c r="D40" s="3"/>
      <c r="E40" s="3"/>
      <c r="G40" s="25"/>
      <c r="H40" s="25"/>
      <c r="I40" s="25"/>
      <c r="J40" s="25"/>
    </row>
    <row r="41" spans="2:10" x14ac:dyDescent="0.3">
      <c r="G41" s="25"/>
      <c r="H41" s="25"/>
      <c r="I41" s="25"/>
      <c r="J41" s="25"/>
    </row>
    <row r="42" spans="2:10" x14ac:dyDescent="0.3">
      <c r="G42" s="25"/>
      <c r="H42" s="25"/>
      <c r="I42" s="25"/>
      <c r="J42" s="25"/>
    </row>
    <row r="43" spans="2:10" x14ac:dyDescent="0.3">
      <c r="G43" s="25"/>
      <c r="H43" s="25"/>
      <c r="I43" s="25"/>
      <c r="J43" s="25"/>
    </row>
    <row r="44" spans="2:10" x14ac:dyDescent="0.3">
      <c r="G44" s="25"/>
      <c r="H44" s="25"/>
      <c r="I44" s="25"/>
      <c r="J44" s="25"/>
    </row>
    <row r="45" spans="2:10" x14ac:dyDescent="0.3">
      <c r="G45" s="25"/>
      <c r="H45" s="25"/>
      <c r="I45" s="25"/>
      <c r="J45" s="25"/>
    </row>
    <row r="46" spans="2:10" x14ac:dyDescent="0.3">
      <c r="G46" s="25"/>
      <c r="H46" s="25"/>
      <c r="I46" s="25"/>
      <c r="J46" s="25"/>
    </row>
    <row r="47" spans="2:10" x14ac:dyDescent="0.3">
      <c r="G47" s="25"/>
      <c r="H47" s="25"/>
      <c r="I47" s="25"/>
      <c r="J47" s="25"/>
    </row>
    <row r="48" spans="2:10" x14ac:dyDescent="0.3">
      <c r="G48" s="25"/>
      <c r="H48" s="25"/>
      <c r="I48" s="25"/>
      <c r="J48" s="25"/>
    </row>
    <row r="49" spans="7:10" x14ac:dyDescent="0.3">
      <c r="G49" s="25"/>
      <c r="H49" s="25"/>
      <c r="I49" s="25"/>
      <c r="J49" s="25"/>
    </row>
    <row r="50" spans="7:10" x14ac:dyDescent="0.3">
      <c r="G50" s="25"/>
      <c r="H50" s="25"/>
      <c r="I50" s="25"/>
      <c r="J50" s="25"/>
    </row>
    <row r="51" spans="7:10" x14ac:dyDescent="0.3">
      <c r="G51" s="25"/>
      <c r="H51" s="25"/>
      <c r="I51" s="25"/>
      <c r="J51" s="25"/>
    </row>
    <row r="52" spans="7:10" x14ac:dyDescent="0.3">
      <c r="G52" s="25"/>
      <c r="H52" s="25"/>
      <c r="I52" s="25"/>
      <c r="J52" s="25"/>
    </row>
  </sheetData>
  <sheetProtection algorithmName="SHA-512" hashValue="PeM4gGtLwR9NQ9CUtVhYwrH5DqTBQsu26ufs486hNM9QgZR/7A7bnkQI1GkVFFQDazgLCbEe0RB3GW672dDaWg==" saltValue="oQu9xnW4knP+bqB4sn4LVA==" spinCount="100000" sheet="1" selectLockedCells="1"/>
  <mergeCells count="11">
    <mergeCell ref="C6:E6"/>
    <mergeCell ref="C2:E2"/>
    <mergeCell ref="C5:E5"/>
    <mergeCell ref="B7:B8"/>
    <mergeCell ref="C7:E8"/>
    <mergeCell ref="C37:E37"/>
    <mergeCell ref="A7:A8"/>
    <mergeCell ref="C15:C17"/>
    <mergeCell ref="C18:C20"/>
    <mergeCell ref="C21:C24"/>
    <mergeCell ref="C25:C27"/>
  </mergeCells>
  <phoneticPr fontId="18" type="noConversion"/>
  <conditionalFormatting sqref="D1:E1">
    <cfRule type="beginsWith" dxfId="1" priority="1" operator="beginsWith" text="Error">
      <formula>LEFT(D1,LEN("Error"))="Error"</formula>
    </cfRule>
  </conditionalFormatting>
  <conditionalFormatting sqref="B12">
    <cfRule type="beginsWith" dxfId="0" priority="2" operator="beginsWith" text="Error">
      <formula>LEFT(B12,LEN("Error"))="Error"</formula>
    </cfRule>
  </conditionalFormatting>
  <dataValidations count="1">
    <dataValidation operator="equal" allowBlank="1" showInputMessage="1" showErrorMessage="1" sqref="C6:E6" xr:uid="{00000000-0002-0000-0100-000000000000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Check Box 1">
              <controlPr defaultSize="0" autoFill="0" autoLine="0" autoPict="0">
                <anchor moveWithCells="1">
                  <from>
                    <xdr:col>2</xdr:col>
                    <xdr:colOff>28575</xdr:colOff>
                    <xdr:row>9</xdr:row>
                    <xdr:rowOff>9525</xdr:rowOff>
                  </from>
                  <to>
                    <xdr:col>2</xdr:col>
                    <xdr:colOff>2514600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Check Box 1">
              <controlPr defaultSize="0" autoFill="0" autoLine="0" autoPict="0">
                <anchor moveWithCells="1">
                  <from>
                    <xdr:col>2</xdr:col>
                    <xdr:colOff>28575</xdr:colOff>
                    <xdr:row>10</xdr:row>
                    <xdr:rowOff>28575</xdr:rowOff>
                  </from>
                  <to>
                    <xdr:col>2</xdr:col>
                    <xdr:colOff>2514600</xdr:colOff>
                    <xdr:row>10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="Select the month_x000a_" xr:uid="{00000000-0002-0000-0100-000001000000}">
          <x14:formula1>
            <xm:f>Data!$B$1:$B$12</xm:f>
          </x14:formula1>
          <xm:sqref>D3:D4</xm:sqref>
        </x14:dataValidation>
        <x14:dataValidation type="list" allowBlank="1" showInputMessage="1" showErrorMessage="1" prompt="Select the year" xr:uid="{00000000-0002-0000-0100-000002000000}">
          <x14:formula1>
            <xm:f>Data!$C$1:$C$11</xm:f>
          </x14:formula1>
          <xm:sqref>E3:E4</xm:sqref>
        </x14:dataValidation>
        <x14:dataValidation type="list" allowBlank="1" showInputMessage="1" showErrorMessage="1" xr:uid="{00000000-0002-0000-0100-000003000000}">
          <x14:formula1>
            <xm:f>Data!$F$1:$F$19</xm:f>
          </x14:formula1>
          <xm:sqref>C5:E5</xm:sqref>
        </x14:dataValidation>
        <x14:dataValidation type="list" allowBlank="1" showInputMessage="1" showErrorMessage="1" prompt="Select the day" xr:uid="{00000000-0002-0000-0100-000004000000}">
          <x14:formula1>
            <xm:f>Data!A1:A31</xm:f>
          </x14:formula1>
          <xm:sqref>C3:C4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35D5E-FB2A-426F-94EE-715C466A6BCB}">
  <dimension ref="A1:F31"/>
  <sheetViews>
    <sheetView workbookViewId="0">
      <selection activeCell="D27" sqref="D27"/>
    </sheetView>
  </sheetViews>
  <sheetFormatPr defaultRowHeight="15" x14ac:dyDescent="0.25"/>
  <sheetData>
    <row r="1" spans="1:6" x14ac:dyDescent="0.25">
      <c r="A1">
        <v>1</v>
      </c>
      <c r="B1" t="s">
        <v>2</v>
      </c>
      <c r="C1">
        <v>2020</v>
      </c>
      <c r="E1">
        <v>0</v>
      </c>
      <c r="F1" t="s">
        <v>57</v>
      </c>
    </row>
    <row r="2" spans="1:6" x14ac:dyDescent="0.25">
      <c r="A2">
        <v>2</v>
      </c>
      <c r="B2" t="s">
        <v>3</v>
      </c>
      <c r="C2">
        <v>2021</v>
      </c>
      <c r="E2">
        <v>1</v>
      </c>
      <c r="F2" t="s">
        <v>56</v>
      </c>
    </row>
    <row r="3" spans="1:6" x14ac:dyDescent="0.25">
      <c r="A3">
        <v>3</v>
      </c>
      <c r="B3" t="s">
        <v>45</v>
      </c>
      <c r="C3">
        <v>2022</v>
      </c>
      <c r="F3" t="s">
        <v>58</v>
      </c>
    </row>
    <row r="4" spans="1:6" x14ac:dyDescent="0.25">
      <c r="A4">
        <v>4</v>
      </c>
      <c r="B4" t="s">
        <v>46</v>
      </c>
      <c r="C4">
        <v>2023</v>
      </c>
      <c r="F4" t="s">
        <v>59</v>
      </c>
    </row>
    <row r="5" spans="1:6" x14ac:dyDescent="0.25">
      <c r="A5">
        <v>5</v>
      </c>
      <c r="B5" t="s">
        <v>47</v>
      </c>
      <c r="C5">
        <v>2024</v>
      </c>
      <c r="F5" t="s">
        <v>60</v>
      </c>
    </row>
    <row r="6" spans="1:6" x14ac:dyDescent="0.25">
      <c r="A6">
        <v>6</v>
      </c>
      <c r="B6" t="s">
        <v>48</v>
      </c>
      <c r="C6">
        <v>2025</v>
      </c>
      <c r="F6" t="s">
        <v>78</v>
      </c>
    </row>
    <row r="7" spans="1:6" x14ac:dyDescent="0.25">
      <c r="A7">
        <v>7</v>
      </c>
      <c r="B7" t="s">
        <v>49</v>
      </c>
      <c r="C7">
        <v>2026</v>
      </c>
      <c r="F7" t="s">
        <v>64</v>
      </c>
    </row>
    <row r="8" spans="1:6" x14ac:dyDescent="0.25">
      <c r="A8">
        <v>8</v>
      </c>
      <c r="B8" t="s">
        <v>50</v>
      </c>
      <c r="C8">
        <v>2027</v>
      </c>
      <c r="F8" t="s">
        <v>79</v>
      </c>
    </row>
    <row r="9" spans="1:6" x14ac:dyDescent="0.25">
      <c r="A9">
        <v>9</v>
      </c>
      <c r="B9" t="s">
        <v>51</v>
      </c>
      <c r="C9">
        <v>2028</v>
      </c>
      <c r="F9" t="s">
        <v>80</v>
      </c>
    </row>
    <row r="10" spans="1:6" x14ac:dyDescent="0.25">
      <c r="A10">
        <v>10</v>
      </c>
      <c r="B10" t="s">
        <v>52</v>
      </c>
      <c r="C10">
        <v>2029</v>
      </c>
      <c r="F10" t="s">
        <v>81</v>
      </c>
    </row>
    <row r="11" spans="1:6" x14ac:dyDescent="0.25">
      <c r="A11">
        <v>11</v>
      </c>
      <c r="B11" t="s">
        <v>53</v>
      </c>
      <c r="C11">
        <v>2030</v>
      </c>
      <c r="F11" t="s">
        <v>68</v>
      </c>
    </row>
    <row r="12" spans="1:6" x14ac:dyDescent="0.25">
      <c r="A12">
        <v>12</v>
      </c>
      <c r="B12" t="s">
        <v>7</v>
      </c>
      <c r="F12" t="s">
        <v>71</v>
      </c>
    </row>
    <row r="13" spans="1:6" x14ac:dyDescent="0.25">
      <c r="A13">
        <v>13</v>
      </c>
      <c r="F13" t="s">
        <v>69</v>
      </c>
    </row>
    <row r="14" spans="1:6" x14ac:dyDescent="0.25">
      <c r="A14">
        <v>14</v>
      </c>
      <c r="F14" t="s">
        <v>70</v>
      </c>
    </row>
    <row r="15" spans="1:6" x14ac:dyDescent="0.25">
      <c r="A15">
        <v>15</v>
      </c>
      <c r="F15" t="s">
        <v>82</v>
      </c>
    </row>
    <row r="16" spans="1:6" x14ac:dyDescent="0.25">
      <c r="A16">
        <v>16</v>
      </c>
      <c r="F16" t="s">
        <v>83</v>
      </c>
    </row>
    <row r="17" spans="1:6" x14ac:dyDescent="0.25">
      <c r="A17">
        <v>17</v>
      </c>
      <c r="F17" t="s">
        <v>73</v>
      </c>
    </row>
    <row r="18" spans="1:6" x14ac:dyDescent="0.25">
      <c r="A18">
        <v>18</v>
      </c>
      <c r="F18" t="s">
        <v>84</v>
      </c>
    </row>
    <row r="19" spans="1:6" x14ac:dyDescent="0.25">
      <c r="A19">
        <v>19</v>
      </c>
      <c r="F19" t="s">
        <v>85</v>
      </c>
    </row>
    <row r="20" spans="1:6" x14ac:dyDescent="0.25">
      <c r="A20">
        <v>20</v>
      </c>
    </row>
    <row r="21" spans="1:6" x14ac:dyDescent="0.25">
      <c r="A21">
        <v>21</v>
      </c>
    </row>
    <row r="22" spans="1:6" x14ac:dyDescent="0.25">
      <c r="A22">
        <v>22</v>
      </c>
    </row>
    <row r="23" spans="1:6" x14ac:dyDescent="0.25">
      <c r="A23">
        <v>23</v>
      </c>
    </row>
    <row r="24" spans="1:6" x14ac:dyDescent="0.25">
      <c r="A24">
        <v>24</v>
      </c>
    </row>
    <row r="25" spans="1:6" x14ac:dyDescent="0.25">
      <c r="A25">
        <v>25</v>
      </c>
    </row>
    <row r="26" spans="1:6" x14ac:dyDescent="0.25">
      <c r="A26">
        <v>26</v>
      </c>
    </row>
    <row r="27" spans="1:6" x14ac:dyDescent="0.25">
      <c r="A27">
        <v>27</v>
      </c>
    </row>
    <row r="28" spans="1:6" x14ac:dyDescent="0.25">
      <c r="A28">
        <v>28</v>
      </c>
    </row>
    <row r="29" spans="1:6" x14ac:dyDescent="0.25">
      <c r="A29">
        <v>29</v>
      </c>
    </row>
    <row r="30" spans="1:6" x14ac:dyDescent="0.25">
      <c r="A30">
        <v>30</v>
      </c>
    </row>
    <row r="31" spans="1:6" x14ac:dyDescent="0.25">
      <c r="A31">
        <v>31</v>
      </c>
    </row>
  </sheetData>
  <sheetProtection algorithmName="SHA-512" hashValue="IOl6FcA0Uqlwn9NMT7gsTHNiJ3Mo2N4pxOVi+aBZAYq8eXQAUE/iNjeX24aRh50HmoS3vuJQ4hKb+4BpHdg+Gw==" saltValue="eF0Jhs5xMTuj2UmF/sY2fQ==" spinCount="100000" sheet="1" objects="1" scenarios="1" selectLockedCells="1" selectUnlockedCells="1"/>
  <phoneticPr fontId="18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14EBF475799344E83A21F57B3D2D99F" ma:contentTypeVersion="14" ma:contentTypeDescription="Create a new document." ma:contentTypeScope="" ma:versionID="c1fadb638275326018ccc66a67a16dbc">
  <xsd:schema xmlns:xsd="http://www.w3.org/2001/XMLSchema" xmlns:xs="http://www.w3.org/2001/XMLSchema" xmlns:p="http://schemas.microsoft.com/office/2006/metadata/properties" xmlns:ns3="6222a55d-2160-4ae0-9c8d-85a446c71a39" xmlns:ns4="6a08541b-5674-44ef-b74c-0afddd725fce" targetNamespace="http://schemas.microsoft.com/office/2006/metadata/properties" ma:root="true" ma:fieldsID="327bae82a8156aaffa86ab5f4413e9ff" ns3:_="" ns4:_="">
    <xsd:import namespace="6222a55d-2160-4ae0-9c8d-85a446c71a39"/>
    <xsd:import namespace="6a08541b-5674-44ef-b74c-0afddd725fc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LengthInSecond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22a55d-2160-4ae0-9c8d-85a446c71a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08541b-5674-44ef-b74c-0afddd725fce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FA0A4FE-4190-4421-9184-461789B3A16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AFD2802-846E-4161-83B0-46D3EB15FBB0}">
  <ds:schemaRefs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6a08541b-5674-44ef-b74c-0afddd725fce"/>
    <ds:schemaRef ds:uri="6222a55d-2160-4ae0-9c8d-85a446c71a39"/>
    <ds:schemaRef ds:uri="http://purl.org/dc/dcmitype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02457049-31DC-44E0-BA5C-CC44C4BE759E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274D6898-802D-4692-9ADC-6C117B0F1F3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22a55d-2160-4ae0-9c8d-85a446c71a39"/>
    <ds:schemaRef ds:uri="6a08541b-5674-44ef-b74c-0afddd725f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Template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Larry Zotter</dc:creator>
  <cp:lastModifiedBy>Larry Zotter</cp:lastModifiedBy>
  <dcterms:created xsi:type="dcterms:W3CDTF">2021-06-04T01:15:52Z</dcterms:created>
  <dcterms:modified xsi:type="dcterms:W3CDTF">2021-08-23T02:25:06Z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951d41b-6b8e-4636-984f-012bff14ba18_Enabled">
    <vt:lpwstr>True</vt:lpwstr>
  </property>
  <property fmtid="{D5CDD505-2E9C-101B-9397-08002B2CF9AE}" pid="3" name="MSIP_Label_6951d41b-6b8e-4636-984f-012bff14ba18_SiteId">
    <vt:lpwstr>c98a79ca-5a9a-4791-a243-f06afd67464d</vt:lpwstr>
  </property>
  <property fmtid="{D5CDD505-2E9C-101B-9397-08002B2CF9AE}" pid="4" name="MSIP_Label_6951d41b-6b8e-4636-984f-012bff14ba18_Owner">
    <vt:lpwstr>eunisetan@smu.edu.sg</vt:lpwstr>
  </property>
  <property fmtid="{D5CDD505-2E9C-101B-9397-08002B2CF9AE}" pid="5" name="MSIP_Label_6951d41b-6b8e-4636-984f-012bff14ba18_SetDate">
    <vt:lpwstr>2021-08-03T03:49:24.1750786Z</vt:lpwstr>
  </property>
  <property fmtid="{D5CDD505-2E9C-101B-9397-08002B2CF9AE}" pid="6" name="MSIP_Label_6951d41b-6b8e-4636-984f-012bff14ba18_Name">
    <vt:lpwstr>Restricted</vt:lpwstr>
  </property>
  <property fmtid="{D5CDD505-2E9C-101B-9397-08002B2CF9AE}" pid="7" name="MSIP_Label_6951d41b-6b8e-4636-984f-012bff14ba18_Application">
    <vt:lpwstr>Microsoft Azure Information Protection</vt:lpwstr>
  </property>
  <property fmtid="{D5CDD505-2E9C-101B-9397-08002B2CF9AE}" pid="8" name="MSIP_Label_6951d41b-6b8e-4636-984f-012bff14ba18_ActionId">
    <vt:lpwstr>5d610d53-f48e-4da5-a9cd-4bedd996ddca</vt:lpwstr>
  </property>
  <property fmtid="{D5CDD505-2E9C-101B-9397-08002B2CF9AE}" pid="9" name="MSIP_Label_6951d41b-6b8e-4636-984f-012bff14ba18_Extended_MSFT_Method">
    <vt:lpwstr>Automatic</vt:lpwstr>
  </property>
  <property fmtid="{D5CDD505-2E9C-101B-9397-08002B2CF9AE}" pid="10" name="Sensitivity">
    <vt:lpwstr>Restricted</vt:lpwstr>
  </property>
  <property fmtid="{D5CDD505-2E9C-101B-9397-08002B2CF9AE}" pid="11" name="ContentTypeId">
    <vt:lpwstr>0x010100E14EBF475799344E83A21F57B3D2D99F</vt:lpwstr>
  </property>
</Properties>
</file>