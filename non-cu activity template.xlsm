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rry\Desktop\"/>
    </mc:Choice>
  </mc:AlternateContent>
  <xr:revisionPtr revIDLastSave="0" documentId="13_ncr:1_{43325024-17D6-4FFC-AF26-F0AF32D5F1B3}" xr6:coauthVersionLast="47" xr6:coauthVersionMax="47" xr10:uidLastSave="{00000000-0000-0000-0000-000000000000}"/>
  <bookViews>
    <workbookView xWindow="-17160" yWindow="3840" windowWidth="24660" windowHeight="14535" activeTab="1" xr2:uid="{00000000-000D-0000-FFFF-FFFF00000000}"/>
  </bookViews>
  <sheets>
    <sheet name="Template" sheetId="4" r:id="rId1"/>
    <sheet name="Data" sheetId="5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4" l="1"/>
  <c r="A4" i="4"/>
  <c r="D11" i="4" s="1"/>
  <c r="A3" i="4"/>
  <c r="F3" i="4" s="1"/>
  <c r="F4" i="4" l="1"/>
  <c r="D10" i="4"/>
  <c r="D1" i="4" s="1"/>
  <c r="E1" i="4" l="1"/>
</calcChain>
</file>

<file path=xl/sharedStrings.xml><?xml version="1.0" encoding="utf-8"?>
<sst xmlns="http://schemas.openxmlformats.org/spreadsheetml/2006/main" count="131" uniqueCount="80">
  <si>
    <t>student email</t>
  </si>
  <si>
    <t>Member</t>
  </si>
  <si>
    <t>Start Date</t>
  </si>
  <si>
    <t>End Date</t>
  </si>
  <si>
    <t>Jan</t>
  </si>
  <si>
    <t>Feb</t>
  </si>
  <si>
    <t>Staff email</t>
  </si>
  <si>
    <t>Leader</t>
  </si>
  <si>
    <t>President</t>
  </si>
  <si>
    <t>Please Indicate</t>
  </si>
  <si>
    <t>Participant</t>
  </si>
  <si>
    <t>Activity/Events/Competition</t>
  </si>
  <si>
    <t>Dec</t>
  </si>
  <si>
    <t>Club/Organization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</si>
  <si>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</si>
  <si>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</si>
  <si>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</si>
  <si>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</si>
  <si>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</si>
  <si>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</si>
  <si>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</si>
  <si>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</si>
  <si>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</si>
  <si>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</si>
  <si>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</si>
  <si>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</si>
  <si>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</si>
  <si>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</si>
  <si>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</si>
  <si>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</si>
  <si>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</si>
  <si>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</si>
  <si>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</si>
  <si>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</si>
  <si>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</si>
  <si>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</si>
  <si>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Critical Thinking and Problem Solving</t>
  </si>
  <si>
    <t>Innovative and Entrepreneurial Skills</t>
  </si>
  <si>
    <t>Interpersonal skills</t>
  </si>
  <si>
    <t>Collaboration and Leadership</t>
  </si>
  <si>
    <t>Communication</t>
  </si>
  <si>
    <t>Global citizenship</t>
  </si>
  <si>
    <t>Ethics and Social Responsibility</t>
  </si>
  <si>
    <t>Intercultural understanding and sensitivity</t>
  </si>
  <si>
    <t>Sensitivity towards Developments in Asia</t>
  </si>
  <si>
    <t>Personal Mastery</t>
  </si>
  <si>
    <t>Resilience and Positivity</t>
  </si>
  <si>
    <t>Self-directedness and Meta Learning</t>
  </si>
  <si>
    <t>GLO number</t>
  </si>
  <si>
    <t>Graduate Learning Outcomes (GLOs)</t>
  </si>
  <si>
    <t>Honorary General Secretary</t>
  </si>
  <si>
    <t>Financial Director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</si>
  <si>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</si>
  <si>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</si>
  <si>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</si>
  <si>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</si>
  <si>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</si>
  <si>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</si>
  <si>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</si>
  <si>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</si>
  <si>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</si>
  <si>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</si>
  <si>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</si>
  <si>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school@smu.edu.sg</t>
  </si>
  <si>
    <t>School</t>
  </si>
  <si>
    <t>SoE</t>
  </si>
  <si>
    <t>SoSS</t>
  </si>
  <si>
    <t>SoA</t>
  </si>
  <si>
    <t>LKCSB</t>
  </si>
  <si>
    <t>SCIS</t>
  </si>
  <si>
    <t>SoL</t>
  </si>
  <si>
    <t>Student OrganizationX</t>
  </si>
  <si>
    <r>
      <t xml:space="preserve">Email
For 2021 cohort </t>
    </r>
    <r>
      <rPr>
        <b/>
        <sz val="14"/>
        <color rgb="FFFF0000"/>
        <rFont val="Calibri"/>
        <family val="2"/>
        <scheme val="minor"/>
      </rPr>
      <t>only</t>
    </r>
  </si>
  <si>
    <t>2,3,5</t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</si>
  <si>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</si>
  <si>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</si>
  <si>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Gold Award</t>
  </si>
  <si>
    <t>Commendation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</si>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</sst>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4"/>
      <color theme="7" tint="0.39997558519241921"/>
      <name val="Calibri"/>
      <family val="2"/>
      <scheme val="minor"/>
    </font>
    <font>
      <b/>
      <sz val="14"/>
      <color rgb="FFFF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6">
    <xf numFmtId="0" fontId="0" fillId="0" borderId="0" xfId="0"/>
    <xf numFmtId="0" fontId="0" fillId="0" borderId="0" xfId="0" applyProtection="1"/>
    <xf numFmtId="0" fontId="19" fillId="0" borderId="0" xfId="0" applyFont="1" applyFill="1" applyProtection="1"/>
    <xf numFmtId="0" fontId="20" fillId="0" borderId="0" xfId="0" applyFont="1" applyFill="1" applyBorder="1" applyProtection="1"/>
    <xf numFmtId="0" fontId="21" fillId="0" borderId="0" xfId="0" applyFont="1" applyFill="1" applyProtection="1"/>
    <xf numFmtId="0" fontId="20" fillId="0" borderId="0" xfId="0" applyFont="1" applyFill="1" applyAlignment="1" applyProtection="1">
      <alignment vertical="top" wrapText="1"/>
    </xf>
    <xf numFmtId="0" fontId="20" fillId="33" borderId="19" xfId="0" applyFont="1" applyFill="1" applyBorder="1" applyAlignment="1" applyProtection="1">
      <alignment wrapText="1"/>
    </xf>
    <xf numFmtId="0" fontId="20" fillId="33" borderId="22" xfId="0" applyFont="1" applyFill="1" applyBorder="1" applyProtection="1"/>
    <xf numFmtId="0" fontId="20" fillId="33" borderId="24" xfId="0" applyFont="1" applyFill="1" applyBorder="1" applyProtection="1"/>
    <xf numFmtId="0" fontId="19" fillId="0" borderId="0" xfId="0" applyFont="1" applyFill="1" applyBorder="1" applyProtection="1"/>
    <xf numFmtId="0" fontId="20" fillId="33" borderId="19" xfId="0" applyFont="1" applyFill="1" applyBorder="1" applyProtection="1"/>
    <xf numFmtId="0" fontId="19" fillId="0" borderId="0" xfId="0" applyNumberFormat="1" applyFont="1" applyFill="1" applyProtection="1"/>
    <xf numFmtId="14" fontId="19" fillId="0" borderId="0" xfId="0" applyNumberFormat="1" applyFont="1" applyFill="1" applyProtection="1"/>
    <xf numFmtId="0" fontId="20" fillId="33" borderId="15" xfId="0" applyFont="1" applyFill="1" applyBorder="1" applyProtection="1"/>
    <xf numFmtId="0" fontId="20" fillId="0" borderId="11" xfId="0" applyFont="1" applyBorder="1" applyAlignment="1" applyProtection="1"/>
    <xf numFmtId="0" fontId="20" fillId="0" borderId="11" xfId="0" applyFont="1" applyFill="1" applyBorder="1" applyAlignment="1" applyProtection="1"/>
    <xf numFmtId="0" fontId="20" fillId="33" borderId="10" xfId="0" applyFont="1" applyFill="1" applyBorder="1" applyProtection="1"/>
    <xf numFmtId="0" fontId="20" fillId="33" borderId="12" xfId="0" applyFont="1" applyFill="1" applyBorder="1" applyProtection="1"/>
    <xf numFmtId="0" fontId="21" fillId="0" borderId="13" xfId="0" applyFont="1" applyBorder="1" applyProtection="1"/>
    <xf numFmtId="0" fontId="20" fillId="33" borderId="11" xfId="0" applyFont="1" applyFill="1" applyBorder="1" applyProtection="1"/>
    <xf numFmtId="0" fontId="20" fillId="0" borderId="13" xfId="0" applyFont="1" applyFill="1" applyBorder="1" applyProtection="1"/>
    <xf numFmtId="0" fontId="21" fillId="0" borderId="0" xfId="0" applyFont="1" applyBorder="1" applyProtection="1"/>
    <xf numFmtId="0" fontId="21" fillId="0" borderId="14" xfId="0" applyFont="1" applyBorder="1" applyProtection="1"/>
    <xf numFmtId="0" fontId="20" fillId="0" borderId="15" xfId="0" applyFont="1" applyFill="1" applyBorder="1" applyProtection="1"/>
    <xf numFmtId="0" fontId="21" fillId="0" borderId="0" xfId="0" applyFont="1" applyProtection="1"/>
    <xf numFmtId="0" fontId="22" fillId="34" borderId="21" xfId="0" applyFont="1" applyFill="1" applyBorder="1" applyProtection="1">
      <protection locked="0"/>
    </xf>
    <xf numFmtId="0" fontId="22" fillId="34" borderId="17" xfId="0" applyFont="1" applyFill="1" applyBorder="1" applyProtection="1">
      <protection locked="0"/>
    </xf>
    <xf numFmtId="0" fontId="21" fillId="34" borderId="28" xfId="0" applyFont="1" applyFill="1" applyBorder="1" applyProtection="1">
      <protection locked="0"/>
    </xf>
    <xf numFmtId="0" fontId="21" fillId="34" borderId="28" xfId="6" applyFont="1" applyFill="1" applyBorder="1" applyProtection="1">
      <protection locked="0"/>
    </xf>
    <xf numFmtId="0" fontId="20" fillId="33" borderId="29" xfId="0" applyFont="1" applyFill="1" applyBorder="1" applyProtection="1"/>
    <xf numFmtId="0" fontId="20" fillId="33" borderId="30" xfId="0" applyFont="1" applyFill="1" applyBorder="1" applyProtection="1"/>
    <xf numFmtId="0" fontId="20" fillId="0" borderId="31" xfId="0" applyFont="1" applyBorder="1" applyProtection="1"/>
    <xf numFmtId="0" fontId="21" fillId="0" borderId="31" xfId="0" applyFont="1" applyBorder="1" applyProtection="1"/>
    <xf numFmtId="0" fontId="21" fillId="0" borderId="33" xfId="0" applyFont="1" applyBorder="1" applyProtection="1"/>
    <xf numFmtId="0" fontId="20" fillId="33" borderId="28" xfId="0" applyFont="1" applyFill="1" applyBorder="1" applyAlignment="1" applyProtection="1">
      <alignment vertical="center" wrapText="1"/>
    </xf>
    <xf numFmtId="0" fontId="20" fillId="33" borderId="28" xfId="0" applyFont="1" applyFill="1" applyBorder="1" applyAlignment="1" applyProtection="1">
      <alignment vertical="top" wrapText="1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0" borderId="16" xfId="0" applyFont="1" applyBorder="1" applyAlignment="1" applyProtection="1">
      <alignment horizontal="center"/>
    </xf>
    <xf numFmtId="0" fontId="21" fillId="0" borderId="17" xfId="0" applyFont="1" applyBorder="1" applyAlignment="1" applyProtection="1">
      <alignment horizontal="center"/>
    </xf>
    <xf numFmtId="0" fontId="20" fillId="33" borderId="26" xfId="0" applyFont="1" applyFill="1" applyBorder="1" applyAlignment="1" applyProtection="1">
      <alignment horizontal="left" wrapText="1"/>
    </xf>
    <xf numFmtId="0" fontId="20" fillId="33" borderId="15" xfId="0" applyFont="1" applyFill="1" applyBorder="1" applyAlignment="1" applyProtection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  <xf numFmtId="0" fontId="19" fillId="0" borderId="14" xfId="0" applyFont="1" applyFill="1" applyBorder="1" applyAlignment="1" applyProtection="1">
      <alignment horizontal="center"/>
    </xf>
    <xf numFmtId="0" fontId="21" fillId="0" borderId="32" xfId="0" applyFont="1" applyBorder="1" applyAlignment="1" applyProtection="1">
      <alignment horizontal="center" vertical="center"/>
    </xf>
    <xf numFmtId="0" fontId="21" fillId="0" borderId="34" xfId="0" applyFont="1" applyBorder="1" applyAlignment="1" applyProtection="1">
      <alignment horizontal="center" vertical="center"/>
    </xf>
    <xf numFmtId="0" fontId="21" fillId="34" borderId="0" xfId="0" applyFont="1" applyFill="1" applyBorder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0" xfId="0" applyFont="1" applyFill="1" applyAlignment="1" applyProtection="1">
      <alignment vertical="top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ill>
        <patternFill>
          <bgColor rgb="FFFF7C8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7C80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fmlaLink="C10" lockText="1" noThreeD="1"/>
</file>

<file path=xl/ctrlProps/ctrlProp2.xml><?xml version="1.0" encoding="utf-8"?>
<formControlPr xmlns="http://schemas.microsoft.com/office/spreadsheetml/2009/9/main" objectType="CheckBox" fmlaLink="C1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9</xdr:row>
          <xdr:rowOff>9525</xdr:rowOff>
        </xdr:from>
        <xdr:to>
          <xdr:col>2</xdr:col>
          <xdr:colOff>2514600</xdr:colOff>
          <xdr:row>9</xdr:row>
          <xdr:rowOff>228600</xdr:rowOff>
        </xdr:to>
        <xdr:sp macro="" textlink="">
          <xdr:nvSpPr>
            <xdr:cNvPr id="4106" name="Check Box 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28575</xdr:rowOff>
        </xdr:from>
        <xdr:to>
          <xdr:col>2</xdr:col>
          <xdr:colOff>2514600</xdr:colOff>
          <xdr:row>10</xdr:row>
          <xdr:rowOff>219075</xdr:rowOff>
        </xdr:to>
        <xdr:sp macro="" textlink="">
          <xdr:nvSpPr>
            <xdr:cNvPr id="4107" name="Check Box 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40"/>
  <sheetViews>
    <sheetView zoomScale="55" zoomScaleNormal="55" workbookViewId="0">
      <selection activeCell="J16" sqref="J16"/>
    </sheetView>
  </sheetViews>
  <sheetFormatPr defaultRowHeight="18.75" x14ac:dyDescent="0.3"/>
  <cols>
    <col min="1" max="1" width="8.7109375" style="2" customWidth="1"/>
    <col min="2" max="2" width="51.140625" style="24" bestFit="1" customWidth="1"/>
    <col min="3" max="3" width="46.28515625" style="24" bestFit="1" customWidth="1"/>
    <col min="4" max="4" width="48.85546875" style="24" bestFit="1" customWidth="1"/>
    <col min="5" max="5" width="46" style="24" bestFit="1" customWidth="1"/>
    <col min="6" max="6" width="9.140625" style="2"/>
    <col min="7" max="7" width="19.140625" style="24" bestFit="1" customWidth="1"/>
    <col min="8" max="8" width="48.7109375" style="24" bestFit="1" customWidth="1"/>
    <col min="9" max="9" width="62" style="24" customWidth="1"/>
    <col min="10" max="10" width="29.140625" style="24" customWidth="1"/>
    <col min="11" max="16384" width="9.140625" style="24"/>
  </cols>
  <sheetData>
    <row r="1" spans="1:10" s="4" customFormat="1" ht="94.5" thickBot="1" x14ac:dyDescent="0.35">
      <c r="A1" s="2"/>
      <c r="B1" s="3" t="s">
        <v>9</v>
      </c>
      <c r="D1" s="5" t="str">
        <f>IF(D10&lt;=D11,"","Error! Start date needs to be before end date")</f>
        <v/>
      </c>
      <c r="E1" s="5" t="str">
        <f>IF(D10=D11,"Error! Start date cannot be same day as the end date!","")</f>
        <v/>
      </c>
      <c r="F1" s="2"/>
      <c r="G1" s="34" t="s">
        <v>72</v>
      </c>
      <c r="H1" s="35" t="s">
        <v>78</v>
      </c>
      <c r="I1" s="35" t="s">
        <v>79</v>
      </c>
      <c r="J1" s="55" t="s">
        <v>75</v>
      </c>
    </row>
    <row r="2" spans="1:10" ht="37.5" x14ac:dyDescent="0.3">
      <c r="B2" s="6" t="s">
        <v>61</v>
      </c>
      <c r="C2" s="51" t="s">
        <v>71</v>
      </c>
      <c r="D2" s="51"/>
      <c r="E2" s="52"/>
      <c r="G2" s="27" t="s">
        <v>0</v>
      </c>
      <c r="H2" s="27" t="s">
        <v>7</v>
      </c>
      <c r="I2" s="27" t="s">
        <v>8</v>
      </c>
      <c r="J2" s="27"/>
    </row>
    <row r="3" spans="1:10" x14ac:dyDescent="0.3">
      <c r="A3" s="2">
        <f>MONTH(DATEVALUE(D3&amp;"1"))</f>
        <v>11</v>
      </c>
      <c r="B3" s="7" t="s">
        <v>2</v>
      </c>
      <c r="C3" s="36">
        <v>31</v>
      </c>
      <c r="D3" s="36" t="s">
        <v>60</v>
      </c>
      <c r="E3" s="37">
        <v>2020</v>
      </c>
      <c r="F3" s="2" t="str">
        <f>_xlfn.CONCAT(A3, "/",C3, "/", E3)</f>
        <v>11/31/2020</v>
      </c>
      <c r="G3" s="27" t="s">
        <v>0</v>
      </c>
      <c r="H3" s="27" t="s">
        <v>7</v>
      </c>
      <c r="I3" s="27" t="s">
        <v>50</v>
      </c>
      <c r="J3" s="27"/>
    </row>
    <row r="4" spans="1:10" x14ac:dyDescent="0.3">
      <c r="A4" s="2">
        <f>MONTH(DATEVALUE(D4&amp;"1"))</f>
        <v>12</v>
      </c>
      <c r="B4" s="7" t="s">
        <v>3</v>
      </c>
      <c r="C4" s="36">
        <v>31</v>
      </c>
      <c r="D4" s="36" t="s">
        <v>12</v>
      </c>
      <c r="E4" s="37">
        <v>2021</v>
      </c>
      <c r="F4" s="2" t="str">
        <f>_xlfn.CONCAT(A4, "/",C4, "/", E4)</f>
        <v>12/31/2021</v>
      </c>
      <c r="G4" s="27" t="s">
        <v>0</v>
      </c>
      <c r="H4" s="27" t="s">
        <v>7</v>
      </c>
      <c r="I4" s="27" t="s">
        <v>51</v>
      </c>
      <c r="J4" s="27"/>
    </row>
    <row r="5" spans="1:10" x14ac:dyDescent="0.3">
      <c r="B5" s="7" t="s">
        <v>64</v>
      </c>
      <c r="C5" s="53" t="s">
        <v>66</v>
      </c>
      <c r="D5" s="53"/>
      <c r="E5" s="54"/>
      <c r="G5" s="27" t="s">
        <v>0</v>
      </c>
      <c r="H5" s="27" t="s">
        <v>7</v>
      </c>
      <c r="I5" s="27" t="s">
        <v>7</v>
      </c>
      <c r="J5" s="27"/>
    </row>
    <row r="6" spans="1:10" x14ac:dyDescent="0.3">
      <c r="B6" s="8" t="s">
        <v>6</v>
      </c>
      <c r="C6" s="49" t="s">
        <v>63</v>
      </c>
      <c r="D6" s="49"/>
      <c r="E6" s="50"/>
      <c r="G6" s="27" t="s">
        <v>0</v>
      </c>
      <c r="H6" s="27" t="s">
        <v>7</v>
      </c>
      <c r="I6" s="27" t="s">
        <v>7</v>
      </c>
      <c r="J6" s="27"/>
    </row>
    <row r="7" spans="1:10" x14ac:dyDescent="0.3">
      <c r="A7" s="46"/>
      <c r="B7" s="40" t="s">
        <v>62</v>
      </c>
      <c r="C7" s="42" t="s">
        <v>73</v>
      </c>
      <c r="D7" s="42"/>
      <c r="E7" s="43"/>
      <c r="G7" s="27" t="s">
        <v>0</v>
      </c>
      <c r="H7" s="27" t="s">
        <v>1</v>
      </c>
      <c r="I7" s="27" t="s">
        <v>1</v>
      </c>
      <c r="J7" s="27"/>
    </row>
    <row r="8" spans="1:10" ht="19.5" thickBot="1" x14ac:dyDescent="0.35">
      <c r="A8" s="46"/>
      <c r="B8" s="41"/>
      <c r="C8" s="44"/>
      <c r="D8" s="44"/>
      <c r="E8" s="45"/>
      <c r="G8" s="27" t="s">
        <v>0</v>
      </c>
      <c r="H8" s="27" t="s">
        <v>1</v>
      </c>
      <c r="I8" s="27" t="s">
        <v>1</v>
      </c>
      <c r="J8" s="27"/>
    </row>
    <row r="9" spans="1:10" ht="19.5" thickBot="1" x14ac:dyDescent="0.35">
      <c r="B9" s="4"/>
      <c r="C9" s="9"/>
      <c r="D9" s="4"/>
      <c r="E9" s="4"/>
      <c r="G9" s="27" t="s">
        <v>0</v>
      </c>
      <c r="H9" s="27" t="s">
        <v>1</v>
      </c>
      <c r="I9" s="27" t="s">
        <v>1</v>
      </c>
      <c r="J9" s="27"/>
    </row>
    <row r="10" spans="1:10" x14ac:dyDescent="0.3">
      <c r="B10" s="10" t="s">
        <v>13</v>
      </c>
      <c r="C10" s="25" t="b">
        <v>0</v>
      </c>
      <c r="D10" s="11">
        <f>DATE(E3, A3, C3)</f>
        <v>44166</v>
      </c>
      <c r="E10" s="12"/>
      <c r="G10" s="27" t="s">
        <v>0</v>
      </c>
      <c r="H10" s="27" t="s">
        <v>1</v>
      </c>
      <c r="I10" s="27" t="s">
        <v>1</v>
      </c>
      <c r="J10" s="27"/>
    </row>
    <row r="11" spans="1:10" ht="19.5" thickBot="1" x14ac:dyDescent="0.35">
      <c r="B11" s="13" t="s">
        <v>11</v>
      </c>
      <c r="C11" s="26" t="b">
        <v>0</v>
      </c>
      <c r="D11" s="11">
        <f>DATE(E4, A4, C4)</f>
        <v>44561</v>
      </c>
      <c r="E11" s="2"/>
      <c r="G11" s="27" t="s">
        <v>0</v>
      </c>
      <c r="H11" s="27" t="s">
        <v>1</v>
      </c>
      <c r="I11" s="27" t="s">
        <v>1</v>
      </c>
      <c r="J11" s="27"/>
    </row>
    <row r="12" spans="1:10" x14ac:dyDescent="0.3">
      <c r="B12" s="14" t="str">
        <f>IF((AND(C10=TRUE, C11=TRUE)), "Error! Select one only", "")</f>
        <v/>
      </c>
      <c r="C12" s="15"/>
      <c r="D12" s="2"/>
      <c r="E12" s="2"/>
      <c r="G12" s="27" t="s">
        <v>0</v>
      </c>
      <c r="H12" s="27" t="s">
        <v>1</v>
      </c>
      <c r="I12" s="27" t="s">
        <v>1</v>
      </c>
      <c r="J12" s="27"/>
    </row>
    <row r="13" spans="1:10" ht="19.5" thickBot="1" x14ac:dyDescent="0.35">
      <c r="B13" s="4"/>
      <c r="C13" s="4"/>
      <c r="D13" s="4"/>
      <c r="E13" s="4"/>
      <c r="G13" s="27" t="s">
        <v>0</v>
      </c>
      <c r="H13" s="27" t="s">
        <v>1</v>
      </c>
      <c r="I13" s="27" t="s">
        <v>1</v>
      </c>
      <c r="J13" s="27"/>
    </row>
    <row r="14" spans="1:10" x14ac:dyDescent="0.3">
      <c r="B14" s="29" t="s">
        <v>49</v>
      </c>
      <c r="C14" s="30" t="s">
        <v>48</v>
      </c>
      <c r="D14" s="4"/>
      <c r="E14" s="4"/>
      <c r="G14" s="27" t="s">
        <v>0</v>
      </c>
      <c r="H14" s="27" t="s">
        <v>10</v>
      </c>
      <c r="I14" s="27" t="s">
        <v>10</v>
      </c>
      <c r="J14" s="27" t="s">
        <v>76</v>
      </c>
    </row>
    <row r="15" spans="1:10" x14ac:dyDescent="0.3">
      <c r="B15" s="31" t="s">
        <v>35</v>
      </c>
      <c r="C15" s="47">
        <v>2</v>
      </c>
      <c r="D15" s="4"/>
      <c r="E15" s="4"/>
      <c r="G15" s="27" t="s">
        <v>0</v>
      </c>
      <c r="H15" s="27" t="s">
        <v>10</v>
      </c>
      <c r="I15" s="27" t="s">
        <v>10</v>
      </c>
      <c r="J15" s="27" t="s">
        <v>77</v>
      </c>
    </row>
    <row r="16" spans="1:10" x14ac:dyDescent="0.3">
      <c r="B16" s="32" t="s">
        <v>36</v>
      </c>
      <c r="C16" s="47"/>
      <c r="D16" s="4"/>
      <c r="E16" s="4"/>
      <c r="G16" s="27" t="s">
        <v>0</v>
      </c>
      <c r="H16" s="27" t="s">
        <v>10</v>
      </c>
      <c r="I16" s="27" t="s">
        <v>10</v>
      </c>
      <c r="J16" s="27"/>
    </row>
    <row r="17" spans="2:10" x14ac:dyDescent="0.3">
      <c r="B17" s="32" t="s">
        <v>37</v>
      </c>
      <c r="C17" s="47"/>
      <c r="D17" s="4"/>
      <c r="E17" s="4"/>
      <c r="G17" s="27" t="s">
        <v>0</v>
      </c>
      <c r="H17" s="27" t="s">
        <v>10</v>
      </c>
      <c r="I17" s="27" t="s">
        <v>10</v>
      </c>
      <c r="J17" s="27"/>
    </row>
    <row r="18" spans="2:10" x14ac:dyDescent="0.3">
      <c r="B18" s="31" t="s">
        <v>38</v>
      </c>
      <c r="C18" s="47">
        <v>3</v>
      </c>
      <c r="D18" s="4"/>
      <c r="E18" s="4"/>
      <c r="G18" s="27" t="s">
        <v>0</v>
      </c>
      <c r="H18" s="27" t="s">
        <v>10</v>
      </c>
      <c r="I18" s="27" t="s">
        <v>10</v>
      </c>
      <c r="J18" s="27"/>
    </row>
    <row r="19" spans="2:10" x14ac:dyDescent="0.3">
      <c r="B19" s="32" t="s">
        <v>39</v>
      </c>
      <c r="C19" s="47"/>
      <c r="D19" s="4"/>
      <c r="E19" s="4"/>
      <c r="G19" s="27" t="s">
        <v>0</v>
      </c>
      <c r="H19" s="27" t="s">
        <v>10</v>
      </c>
      <c r="I19" s="27" t="s">
        <v>10</v>
      </c>
      <c r="J19" s="27"/>
    </row>
    <row r="20" spans="2:10" x14ac:dyDescent="0.3">
      <c r="B20" s="32" t="s">
        <v>40</v>
      </c>
      <c r="C20" s="47"/>
      <c r="D20" s="4"/>
      <c r="E20" s="4"/>
      <c r="G20" s="27"/>
      <c r="H20" s="27"/>
      <c r="I20" s="27"/>
      <c r="J20" s="27"/>
    </row>
    <row r="21" spans="2:10" x14ac:dyDescent="0.3">
      <c r="B21" s="31" t="s">
        <v>41</v>
      </c>
      <c r="C21" s="47">
        <v>4</v>
      </c>
      <c r="D21" s="4"/>
      <c r="E21" s="4"/>
      <c r="G21" s="27"/>
      <c r="H21" s="28"/>
      <c r="I21" s="27"/>
      <c r="J21" s="27"/>
    </row>
    <row r="22" spans="2:10" x14ac:dyDescent="0.3">
      <c r="B22" s="32" t="s">
        <v>42</v>
      </c>
      <c r="C22" s="47"/>
      <c r="D22" s="4"/>
      <c r="E22" s="4"/>
      <c r="G22" s="27"/>
      <c r="H22" s="27"/>
      <c r="I22" s="27"/>
      <c r="J22" s="27"/>
    </row>
    <row r="23" spans="2:10" x14ac:dyDescent="0.3">
      <c r="B23" s="32" t="s">
        <v>43</v>
      </c>
      <c r="C23" s="47"/>
      <c r="D23" s="4"/>
      <c r="E23" s="4"/>
      <c r="G23" s="27"/>
      <c r="H23" s="27"/>
      <c r="I23" s="27"/>
      <c r="J23" s="27"/>
    </row>
    <row r="24" spans="2:10" x14ac:dyDescent="0.3">
      <c r="B24" s="32" t="s">
        <v>44</v>
      </c>
      <c r="C24" s="47"/>
      <c r="D24" s="4"/>
      <c r="E24" s="4"/>
      <c r="G24" s="27"/>
      <c r="H24" s="27"/>
      <c r="I24" s="27"/>
      <c r="J24" s="27"/>
    </row>
    <row r="25" spans="2:10" x14ac:dyDescent="0.3">
      <c r="B25" s="31" t="s">
        <v>45</v>
      </c>
      <c r="C25" s="47">
        <v>5</v>
      </c>
      <c r="D25" s="4"/>
      <c r="E25" s="4"/>
      <c r="G25" s="27"/>
      <c r="H25" s="27"/>
      <c r="I25" s="27"/>
      <c r="J25" s="27"/>
    </row>
    <row r="26" spans="2:10" x14ac:dyDescent="0.3">
      <c r="B26" s="32" t="s">
        <v>46</v>
      </c>
      <c r="C26" s="47"/>
      <c r="D26" s="4"/>
      <c r="E26" s="4"/>
      <c r="G26" s="27"/>
      <c r="H26" s="27"/>
      <c r="I26" s="27"/>
      <c r="J26" s="27"/>
    </row>
    <row r="27" spans="2:10" ht="19.5" thickBot="1" x14ac:dyDescent="0.35">
      <c r="B27" s="33" t="s">
        <v>47</v>
      </c>
      <c r="C27" s="48"/>
      <c r="D27" s="4"/>
      <c r="E27" s="4"/>
      <c r="G27" s="27"/>
      <c r="H27" s="27"/>
      <c r="I27" s="27"/>
      <c r="J27" s="27"/>
    </row>
    <row r="28" spans="2:10" x14ac:dyDescent="0.3">
      <c r="B28" s="4"/>
      <c r="C28" s="4"/>
      <c r="D28" s="4"/>
      <c r="E28" s="4"/>
    </row>
    <row r="29" spans="2:10" ht="19.5" thickBot="1" x14ac:dyDescent="0.35">
      <c r="B29" s="3"/>
      <c r="C29" s="4"/>
      <c r="D29" s="4"/>
      <c r="E29" s="4"/>
    </row>
    <row r="30" spans="2:10" x14ac:dyDescent="0.3">
      <c r="B30" s="16" t="s">
        <v>21</v>
      </c>
      <c r="C30" s="19" t="s">
        <v>31</v>
      </c>
      <c r="D30" s="19" t="s">
        <v>18</v>
      </c>
      <c r="E30" s="17" t="s">
        <v>34</v>
      </c>
    </row>
    <row r="31" spans="2:10" x14ac:dyDescent="0.3">
      <c r="B31" s="20" t="s">
        <v>22</v>
      </c>
      <c r="C31" s="21" t="s">
        <v>14</v>
      </c>
      <c r="D31" s="21" t="s">
        <v>14</v>
      </c>
      <c r="E31" s="22"/>
    </row>
    <row r="32" spans="2:10" x14ac:dyDescent="0.3">
      <c r="B32" s="20" t="s">
        <v>20</v>
      </c>
      <c r="C32" s="21" t="s">
        <v>74</v>
      </c>
      <c r="D32" s="21" t="s">
        <v>19</v>
      </c>
      <c r="E32" s="22"/>
    </row>
    <row r="33" spans="2:5" x14ac:dyDescent="0.3">
      <c r="B33" s="20" t="s">
        <v>15</v>
      </c>
      <c r="C33" s="21" t="s">
        <v>26</v>
      </c>
      <c r="D33" s="21" t="s">
        <v>28</v>
      </c>
      <c r="E33" s="22" t="s">
        <v>32</v>
      </c>
    </row>
    <row r="34" spans="2:5" x14ac:dyDescent="0.3">
      <c r="B34" s="20" t="s">
        <v>16</v>
      </c>
      <c r="C34" s="21" t="s">
        <v>23</v>
      </c>
      <c r="D34" s="21" t="s">
        <v>29</v>
      </c>
      <c r="E34" s="22" t="s">
        <v>33</v>
      </c>
    </row>
    <row r="35" spans="2:5" x14ac:dyDescent="0.3">
      <c r="B35" s="20" t="s">
        <v>17</v>
      </c>
      <c r="C35" s="21" t="s">
        <v>25</v>
      </c>
      <c r="D35" s="21" t="s">
        <v>30</v>
      </c>
      <c r="E35" s="22"/>
    </row>
    <row r="36" spans="2:5" x14ac:dyDescent="0.3">
      <c r="B36" s="18"/>
      <c r="C36" s="21"/>
      <c r="D36" s="21"/>
      <c r="E36" s="22"/>
    </row>
    <row r="37" spans="2:5" ht="19.5" thickBot="1" x14ac:dyDescent="0.35">
      <c r="B37" s="23" t="s">
        <v>24</v>
      </c>
      <c r="C37" s="38" t="s">
        <v>27</v>
      </c>
      <c r="D37" s="38"/>
      <c r="E37" s="39"/>
    </row>
    <row r="38" spans="2:5" x14ac:dyDescent="0.3">
      <c r="B38" s="4"/>
      <c r="C38" s="4"/>
      <c r="D38" s="4"/>
      <c r="E38" s="4"/>
    </row>
    <row r="39" spans="2:5" x14ac:dyDescent="0.3">
      <c r="B39" s="4"/>
      <c r="C39" s="4"/>
      <c r="D39" s="4"/>
      <c r="E39" s="4"/>
    </row>
    <row r="40" spans="2:5" x14ac:dyDescent="0.3">
      <c r="B40" s="4"/>
      <c r="C40" s="4"/>
      <c r="D40" s="4"/>
      <c r="E40" s="4"/>
    </row>
  </sheetData>
  <sheetProtection algorithmName="SHA-512" hashValue="KmDxRf0KBiu/ZBQxr3y1Mw8R6315i/qI6J2OVU7mbqt4lri6DD/OZLxGxEv8e2rQC7SkdHJ7FgEBOZzgDv7eWw==" saltValue="mGdkVdAlqAz+Te8dGh65gw==" spinCount="100000" sheet="1" selectLockedCells="1"/>
  <mergeCells count="11">
    <mergeCell ref="C6:E6"/>
    <mergeCell ref="C2:E2"/>
    <mergeCell ref="C5:E5"/>
    <mergeCell ref="C37:E37"/>
    <mergeCell ref="B7:B8"/>
    <mergeCell ref="C7:E8"/>
    <mergeCell ref="A7:A8"/>
    <mergeCell ref="C15:C17"/>
    <mergeCell ref="C18:C20"/>
    <mergeCell ref="C21:C24"/>
    <mergeCell ref="C25:C27"/>
  </mergeCells>
  <phoneticPr fontId="18" type="noConversion"/>
  <conditionalFormatting sqref="D1:E1">
    <cfRule type="beginsWith" dxfId="1" priority="1" operator="beginsWith" text="Error">
      <formula>LEFT(D1,LEN("Error"))="Error"</formula>
    </cfRule>
  </conditionalFormatting>
  <conditionalFormatting sqref="B12">
    <cfRule type="beginsWith" dxfId="0" priority="2" operator="beginsWith" text="Error">
      <formula>LEFT(B12,LEN("Error"))="Error"</formula>
    </cfRule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4" name="Check Box 1">
              <controlPr defaultSize="0" autoFill="0" autoLine="0" autoPict="0">
                <anchor moveWithCells="1">
                  <from>
                    <xdr:col>2</xdr:col>
                    <xdr:colOff>28575</xdr:colOff>
                    <xdr:row>9</xdr:row>
                    <xdr:rowOff>9525</xdr:rowOff>
                  </from>
                  <to>
                    <xdr:col>2</xdr:col>
                    <xdr:colOff>2514600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5" name="Check Box 11">
              <controlPr defaultSize="0" autoFill="0" autoLine="0" autoPict="0">
                <anchor moveWithCells="1">
                  <from>
                    <xdr:col>2</xdr:col>
                    <xdr:colOff>28575</xdr:colOff>
                    <xdr:row>10</xdr:row>
                    <xdr:rowOff>28575</xdr:rowOff>
                  </from>
                  <to>
                    <xdr:col>2</xdr:col>
                    <xdr:colOff>2514600</xdr:colOff>
                    <xdr:row>10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Data!$G$1:$G$6</xm:f>
          </x14:formula1>
          <xm:sqref>C5:E5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G31"/>
  <sheetViews>
    <sheetView tabSelected="1" workbookViewId="0">
      <selection sqref="A1:XFD1048576"/>
    </sheetView>
  </sheetViews>
  <sheetFormatPr defaultRowHeight="15" x14ac:dyDescent="0.25"/>
  <cols>
    <col min="1" max="16384" width="9.140625" style="1"/>
  </cols>
  <sheetData>
    <row r="1" spans="1:7" x14ac:dyDescent="0.25">
      <c r="A1" s="1">
        <v>1</v>
      </c>
      <c r="B1" s="1" t="s">
        <v>4</v>
      </c>
      <c r="C1" s="1">
        <v>2020</v>
      </c>
      <c r="E1" s="1">
        <v>0</v>
      </c>
      <c r="G1" s="1" t="s">
        <v>66</v>
      </c>
    </row>
    <row r="2" spans="1:7" x14ac:dyDescent="0.25">
      <c r="A2" s="1">
        <v>2</v>
      </c>
      <c r="B2" s="1" t="s">
        <v>5</v>
      </c>
      <c r="C2" s="1">
        <v>2021</v>
      </c>
      <c r="E2" s="1">
        <v>1</v>
      </c>
      <c r="G2" s="1" t="s">
        <v>65</v>
      </c>
    </row>
    <row r="3" spans="1:7" x14ac:dyDescent="0.25">
      <c r="A3" s="1">
        <v>3</v>
      </c>
      <c r="B3" s="1" t="s">
        <v>52</v>
      </c>
      <c r="C3" s="1">
        <v>2022</v>
      </c>
      <c r="G3" s="1" t="s">
        <v>67</v>
      </c>
    </row>
    <row r="4" spans="1:7" x14ac:dyDescent="0.25">
      <c r="A4" s="1">
        <v>4</v>
      </c>
      <c r="B4" s="1" t="s">
        <v>53</v>
      </c>
      <c r="C4" s="1">
        <v>2023</v>
      </c>
      <c r="G4" s="1" t="s">
        <v>68</v>
      </c>
    </row>
    <row r="5" spans="1:7" x14ac:dyDescent="0.25">
      <c r="A5" s="1">
        <v>5</v>
      </c>
      <c r="B5" s="1" t="s">
        <v>54</v>
      </c>
      <c r="C5" s="1">
        <v>2024</v>
      </c>
      <c r="G5" s="1" t="s">
        <v>69</v>
      </c>
    </row>
    <row r="6" spans="1:7" x14ac:dyDescent="0.25">
      <c r="A6" s="1">
        <v>6</v>
      </c>
      <c r="B6" s="1" t="s">
        <v>55</v>
      </c>
      <c r="C6" s="1">
        <v>2025</v>
      </c>
      <c r="G6" s="1" t="s">
        <v>70</v>
      </c>
    </row>
    <row r="7" spans="1:7" x14ac:dyDescent="0.25">
      <c r="A7" s="1">
        <v>7</v>
      </c>
      <c r="B7" s="1" t="s">
        <v>56</v>
      </c>
      <c r="C7" s="1">
        <v>2026</v>
      </c>
    </row>
    <row r="8" spans="1:7" x14ac:dyDescent="0.25">
      <c r="A8" s="1">
        <v>8</v>
      </c>
      <c r="B8" s="1" t="s">
        <v>57</v>
      </c>
      <c r="C8" s="1">
        <v>2027</v>
      </c>
    </row>
    <row r="9" spans="1:7" x14ac:dyDescent="0.25">
      <c r="A9" s="1">
        <v>9</v>
      </c>
      <c r="B9" s="1" t="s">
        <v>58</v>
      </c>
      <c r="C9" s="1">
        <v>2028</v>
      </c>
    </row>
    <row r="10" spans="1:7" x14ac:dyDescent="0.25">
      <c r="A10" s="1">
        <v>10</v>
      </c>
      <c r="B10" s="1" t="s">
        <v>59</v>
      </c>
      <c r="C10" s="1">
        <v>2029</v>
      </c>
    </row>
    <row r="11" spans="1:7" x14ac:dyDescent="0.25">
      <c r="A11" s="1">
        <v>11</v>
      </c>
      <c r="B11" s="1" t="s">
        <v>60</v>
      </c>
      <c r="C11" s="1">
        <v>2030</v>
      </c>
    </row>
    <row r="12" spans="1:7" x14ac:dyDescent="0.25">
      <c r="A12" s="1">
        <v>12</v>
      </c>
      <c r="B12" s="1" t="s">
        <v>12</v>
      </c>
    </row>
    <row r="13" spans="1:7" x14ac:dyDescent="0.25">
      <c r="A13" s="1">
        <v>13</v>
      </c>
    </row>
    <row r="14" spans="1:7" x14ac:dyDescent="0.25">
      <c r="A14" s="1">
        <v>14</v>
      </c>
    </row>
    <row r="15" spans="1:7" x14ac:dyDescent="0.25">
      <c r="A15" s="1">
        <v>15</v>
      </c>
    </row>
    <row r="16" spans="1:7" x14ac:dyDescent="0.25">
      <c r="A16" s="1">
        <v>16</v>
      </c>
    </row>
    <row r="17" spans="1:1" x14ac:dyDescent="0.25">
      <c r="A17" s="1">
        <v>17</v>
      </c>
    </row>
    <row r="18" spans="1:1" x14ac:dyDescent="0.25">
      <c r="A18" s="1">
        <v>18</v>
      </c>
    </row>
    <row r="19" spans="1:1" x14ac:dyDescent="0.25">
      <c r="A19" s="1">
        <v>19</v>
      </c>
    </row>
    <row r="20" spans="1:1" x14ac:dyDescent="0.25">
      <c r="A20" s="1">
        <v>20</v>
      </c>
    </row>
    <row r="21" spans="1:1" x14ac:dyDescent="0.25">
      <c r="A21" s="1">
        <v>21</v>
      </c>
    </row>
    <row r="22" spans="1:1" x14ac:dyDescent="0.25">
      <c r="A22" s="1">
        <v>22</v>
      </c>
    </row>
    <row r="23" spans="1:1" x14ac:dyDescent="0.25">
      <c r="A23" s="1">
        <v>23</v>
      </c>
    </row>
    <row r="24" spans="1:1" x14ac:dyDescent="0.25">
      <c r="A24" s="1">
        <v>24</v>
      </c>
    </row>
    <row r="25" spans="1:1" x14ac:dyDescent="0.25">
      <c r="A25" s="1">
        <v>25</v>
      </c>
    </row>
    <row r="26" spans="1:1" x14ac:dyDescent="0.25">
      <c r="A26" s="1">
        <v>26</v>
      </c>
    </row>
    <row r="27" spans="1:1" x14ac:dyDescent="0.25">
      <c r="A27" s="1">
        <v>27</v>
      </c>
    </row>
    <row r="28" spans="1:1" x14ac:dyDescent="0.25">
      <c r="A28" s="1">
        <v>28</v>
      </c>
    </row>
    <row r="29" spans="1:1" x14ac:dyDescent="0.25">
      <c r="A29" s="1">
        <v>29</v>
      </c>
    </row>
    <row r="30" spans="1:1" x14ac:dyDescent="0.25">
      <c r="A30" s="1">
        <v>30</v>
      </c>
    </row>
    <row r="31" spans="1:1" x14ac:dyDescent="0.25">
      <c r="A31" s="1">
        <v>31</v>
      </c>
    </row>
  </sheetData>
  <sheetProtection algorithmName="SHA-512" hashValue="KmNbbOmlVdiC+ihLpibXI3vTbxQ6PhfosBzLkNmmVJ7RXdxYHG1eeyuqa+5yhXc3kSQprGTr9JnTkOGcGx/69g==" saltValue="VpIJtrCr+p5aCJMW+4otbQ==" spinCount="100000" sheet="1" objects="1" scenarios="1" selectLockedCells="1"/>
  <phoneticPr fontId="1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Template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Larry Zotter</cp:lastModifiedBy>
  <dcterms:created xsi:type="dcterms:W3CDTF">2021-06-04T01:15:52Z</dcterms:created>
  <dcterms:modified xsi:type="dcterms:W3CDTF">2021-06-23T04:21:35Z</dcterms:modified>
</cp:coreProperties>
</file>